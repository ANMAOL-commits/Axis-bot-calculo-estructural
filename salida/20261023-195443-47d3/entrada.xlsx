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Resumen" sheetId="2" state="visible" r:id="rId4"/>
    <sheet name="Datos" sheetId="3" state="visible" r:id="rId5"/>
    <sheet name="Cargas" sheetId="4" state="visible" r:id="rId6"/>
    <sheet name="Losas" sheetId="5" state="visible" r:id="rId7"/>
    <sheet name="Viguetas y Correas" sheetId="6" state="visible" r:id="rId8"/>
    <sheet name="Vigas" sheetId="7" state="visible" r:id="rId9"/>
    <sheet name="Columnas" sheetId="8" state="visible" r:id="rId10"/>
    <sheet name="Interaccion" sheetId="9" state="visible" r:id="rId11"/>
    <sheet name="Sismo 1 Accion" sheetId="10" state="visible" r:id="rId12"/>
    <sheet name="Sismo 2 Distribucion" sheetId="11" state="visible" r:id="rId13"/>
    <sheet name="Muros" sheetId="12" state="visible" r:id="rId14"/>
    <sheet name="Voladizos" sheetId="13" state="visible" r:id="rId15"/>
    <sheet name="Fundaciones" sheetId="14" state="visible" r:id="rId16"/>
    <sheet name="Tablas" sheetId="15" state="visible" r:id="rId17"/>
    <sheet name="Tablas Sismo" sheetId="16" state="visible" r:id="rId18"/>
    <sheet name="Cambios" sheetId="17" state="visible" r:id="rId19"/>
  </sheets>
  <definedNames>
    <definedName function="false" hidden="true" localSheetId="16" name="_xlnm._FilterDatabase" vbProcedure="false">Cambios!$B$4:$H$45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<sst xmlns="http://schemas.openxmlformats.org/spreadsheetml/2006/main" count="2729" uniqueCount="2035">
  <si>
    <t xml:space="preserve">PLANILLA UNIFICADA DE CÁLCULO ESTRUCTURAL – VIVIENDAS Y ESTRUCTURAS SIMPLES</t>
  </si>
  <si>
    <t xml:space="preserve">Enfoque Ingeniería · Versión 1.1 · Basada en 'PROYECTO_DE_CALCULO.xlsx' (revisada, corregida y unificada) · CIRSOC 101, 201 e INPRES-CIRSOC 103</t>
  </si>
  <si>
    <t xml:space="preserve">Cómo se usa</t>
  </si>
  <si>
    <t xml:space="preserve">1) Cargá los datos comunes en 'Datos' (hormigón, acero, suelo, mampostería).</t>
  </si>
  <si>
    <t xml:space="preserve">2) En 'Cargas' elegí los materiales de cada nivel (listas desplegables) y las sobrecargas.</t>
  </si>
  <si>
    <t xml:space="preserve">3) Cargá y verificá losas, vigas, viguetas/correas y columnas (celdas amarillas).</t>
  </si>
  <si>
    <t xml:space="preserve">4) Definí la acción sísmica en 'Sismo 1', distribuí en planta en 'Sismo 2' y verificá 'Muros'.</t>
  </si>
  <si>
    <t xml:space="preserve">5) Verificá fundaciones. 6) Revisá la hoja 'Resumen': todo debe figurar CUMPLE o '–'.</t>
  </si>
  <si>
    <t xml:space="preserve">Los datos cargados son de una vivienda de EJEMPLO: reemplazarlos por los del proyecto. Para agregar más elementos, completar las filas vacías de cada tabla.</t>
  </si>
  <si>
    <t xml:space="preserve">Código de colores</t>
  </si>
  <si>
    <t xml:space="preserve">Dato de entrada (editable)</t>
  </si>
  <si>
    <t xml:space="preserve">Fórmula (no modificar)</t>
  </si>
  <si>
    <t xml:space="preserve">Valor traído de otra hoja</t>
  </si>
  <si>
    <t xml:space="preserve">CUMPLE</t>
  </si>
  <si>
    <t xml:space="preserve">NO CUMPLE</t>
  </si>
  <si>
    <t xml:space="preserve">REVISAR / AUMENTAR</t>
  </si>
  <si>
    <t xml:space="preserve">Hojas del libro</t>
  </si>
  <si>
    <t xml:space="preserve">Hoja</t>
  </si>
  <si>
    <t xml:space="preserve">Contenido</t>
  </si>
  <si>
    <t xml:space="preserve">Norma de referencia</t>
  </si>
  <si>
    <t xml:space="preserve">Resumen</t>
  </si>
  <si>
    <t xml:space="preserve">Estado de verificaciones y datos clave</t>
  </si>
  <si>
    <t xml:space="preserve">Datos</t>
  </si>
  <si>
    <t xml:space="preserve">Proyecto, hormigón, acero, suelo, mampostería</t>
  </si>
  <si>
    <t xml:space="preserve">CIRSOC 201 · INPRES-CIRSOC 103-III</t>
  </si>
  <si>
    <t xml:space="preserve">Cargas</t>
  </si>
  <si>
    <t xml:space="preserve">Análisis de cargas y combinaciones</t>
  </si>
  <si>
    <t xml:space="preserve">CIRSOC 101 · CIRSOC 201 §9.2</t>
  </si>
  <si>
    <t xml:space="preserve">Losas</t>
  </si>
  <si>
    <t xml:space="preserve">Losas macizas en una dirección</t>
  </si>
  <si>
    <t xml:space="preserve">CIRSOC 201 cap. 7–11</t>
  </si>
  <si>
    <t xml:space="preserve">Viguetas y Correas</t>
  </si>
  <si>
    <t xml:space="preserve">Viguetas pretensadas y correas de madera</t>
  </si>
  <si>
    <t xml:space="preserve">Catálogo · CIRSOC 601</t>
  </si>
  <si>
    <t xml:space="preserve">Vigas</t>
  </si>
  <si>
    <t xml:space="preserve">Vigas de H°A°: flexión y corte</t>
  </si>
  <si>
    <t xml:space="preserve">CIRSOC 201 cap. 9–11</t>
  </si>
  <si>
    <t xml:space="preserve">Columnas</t>
  </si>
  <si>
    <t xml:space="preserve">Flexocompresión y estribos</t>
  </si>
  <si>
    <t xml:space="preserve">CIRSOC 201 cap. 7 y 10</t>
  </si>
  <si>
    <t xml:space="preserve">Interaccion</t>
  </si>
  <si>
    <t xml:space="preserve">Diagramas P–M (cálculo de apoyo)</t>
  </si>
  <si>
    <t xml:space="preserve">CIRSOC 201 §9.3, §10.2</t>
  </si>
  <si>
    <t xml:space="preserve">Sismo 1 Accion</t>
  </si>
  <si>
    <t xml:space="preserve">Espectro, C, pesos y corte basal</t>
  </si>
  <si>
    <t xml:space="preserve">INPRES-CIRSOC 103 Parte I</t>
  </si>
  <si>
    <t xml:space="preserve">Sismo 2 Distribucion</t>
  </si>
  <si>
    <t xml:space="preserve">Centros de masa y rigidez, torsión y reparto</t>
  </si>
  <si>
    <t xml:space="preserve">Muros</t>
  </si>
  <si>
    <t xml:space="preserve">Corte en mampostería y tabiques de H°A°</t>
  </si>
  <si>
    <t xml:space="preserve">INPRES-CIRSOC 103 Parte III · CIRSOC 201 §11.10</t>
  </si>
  <si>
    <t xml:space="preserve">Voladizos</t>
  </si>
  <si>
    <t xml:space="preserve">Columnas en voladizo y componentes no estructurales</t>
  </si>
  <si>
    <t xml:space="preserve">Fundaciones</t>
  </si>
  <si>
    <t xml:space="preserve">Cimientos corridos y bases aisladas</t>
  </si>
  <si>
    <t xml:space="preserve">CIRSOC 201 cap. 15</t>
  </si>
  <si>
    <t xml:space="preserve">Tablas / Tablas Sismo</t>
  </si>
  <si>
    <t xml:space="preserve">Datos de consulta</t>
  </si>
  <si>
    <t xml:space="preserve">CIRSOC 101 · INPRES-CIRSOC 103</t>
  </si>
  <si>
    <t xml:space="preserve">Cambios</t>
  </si>
  <si>
    <t xml:space="preserve">Registro de correcciones respecto del original</t>
  </si>
  <si>
    <t xml:space="preserve">Versión 1.1 – correcciones respecto de la 1.0</t>
  </si>
  <si>
    <t xml:space="preserve">• Losas: se agrega el esquema 'Voladizo' (el ejemplo L3 estaba calculado como simplemente apoyada) y el corte usa el d de la armadura de apoyo.</t>
  </si>
  <si>
    <t xml:space="preserve">• Resumen: se eliminan las funciones TEXT() (daban resultados distintos según la configuración regional de Excel).</t>
  </si>
  <si>
    <t xml:space="preserve">• Columnas: la búsqueda del punto del diagrama usa SUMPRODUCT en lugar de BUSCAR con orden descendente (más robusto en Excel).</t>
  </si>
  <si>
    <t xml:space="preserve">• Viguetas: las series se rotulan 'Serie 3a', etc.; antes la serie '0' se convertía en número al elegirla de la lista y daba error.</t>
  </si>
  <si>
    <t xml:space="preserve">• Formato: alturas de fila ajustadas para que no se corten textos; etiquetas de f1 más cortas; filas de Cargas más altas para descripciones largas.</t>
  </si>
  <si>
    <t xml:space="preserve">Alcance y limitaciones</t>
  </si>
  <si>
    <t xml:space="preserve">• Es una herramienta de apoyo: los resultados deben ser verificados y firmados por el profesional responsable. Los valores de ejemplo (cargas, suelo, secciones) NO son de un proyecto real.</t>
  </si>
  <si>
    <t xml:space="preserve">• No incluye: viento (CIRSOC 102), nieve (CIRSOC 104), torsión en vigas, vigas T, losas en dos direcciones, análisis de pórticos, efectos de segundo orden, ni el detallado sismorresistente de CIRSOC 201 cap. 21 e INPRES-CIRSOC 103 Parte II.</t>
  </si>
  <si>
    <t xml:space="preserve">• Pendiente de migrar: encadenados de mampostería (INPRES-CIRSOC 103 Parte III, Art. 4.5) y elementos de borde de tabiques (la hoja original 'Incrementos Sísmicos' usaba tensiones admisibles).</t>
  </si>
  <si>
    <t xml:space="preserve">• Valores de R, Cd, Ωo, tabla de f'm y f'v y coeficientes de componentes (Cap. 10) están transcriptos de la planilla original o de tablas indicativas: confirmarlos con la edición vigente del reglamento antes de usar en un proyecto.</t>
  </si>
  <si>
    <t xml:space="preserve">• Criterios de CIRSOC 201 citados por artículo (recubrimientos, separaciones, mínimos) deben confirmarse con la edición vigente.</t>
  </si>
  <si>
    <t xml:space="preserve">RESUMEN DE VERIFICACIONES Y RESULTADOS CLAVE</t>
  </si>
  <si>
    <t xml:space="preserve">Tablero general: cuenta cuántas verificaciones de cada módulo cumplen, no cumplen o quedan por revisar. Un módulo sin datos cargados figura con '–'.</t>
  </si>
  <si>
    <t xml:space="preserve">Verificaciones por módulo</t>
  </si>
  <si>
    <t xml:space="preserve">Módulo</t>
  </si>
  <si>
    <t xml:space="preserve">Verificaciones</t>
  </si>
  <si>
    <t xml:space="preserve">Estado</t>
  </si>
  <si>
    <t xml:space="preserve">Ir a la hoja</t>
  </si>
  <si>
    <t xml:space="preserve">Muros (mampostería y tabiques)</t>
  </si>
  <si>
    <t xml:space="preserve">Columnas en voladizo</t>
  </si>
  <si>
    <t xml:space="preserve">Distribución sísmica (equilibrio)</t>
  </si>
  <si>
    <t xml:space="preserve">TOTAL</t>
  </si>
  <si>
    <t xml:space="preserve">Datos y resultados clave</t>
  </si>
  <si>
    <t xml:space="preserve">Hormigón / acero</t>
  </si>
  <si>
    <t xml:space="preserve">Tensión admisible del suelo</t>
  </si>
  <si>
    <t xml:space="preserve">Carga permanente D techo / entrepiso (sin losa)</t>
  </si>
  <si>
    <t xml:space="preserve">Carga mayorada qu techo / entrepiso (con losa estimada)</t>
  </si>
  <si>
    <t xml:space="preserve">Zona sísmica · tipo de suelo · grupo</t>
  </si>
  <si>
    <t xml:space="preserve">Coeficiente sísmico C (R = ...)</t>
  </si>
  <si>
    <t xml:space="preserve">Peso sísmico W / Corte basal V0</t>
  </si>
  <si>
    <t xml:space="preserve">Estado 'CUMPLE' significa que las verificaciones implementadas se satisfacen con los datos cargados; no reemplaza la revisión del profesional responsable ni verificaciones no incluidas (viento, nieve, torsión en vigas, estabilidad global, detalles sismorresistentes, etc.).</t>
  </si>
  <si>
    <t xml:space="preserve">DATOS GENERALES · MATERIALES · SUELO</t>
  </si>
  <si>
    <t xml:space="preserve">Única hoja donde se cargan los datos comunes. Todas las demás hojas leen estos valores (celdas amarillas = datos de entrada; el resto se calcula solo).</t>
  </si>
  <si>
    <t xml:space="preserve">1. Proyecto</t>
  </si>
  <si>
    <t xml:space="preserve">Obra</t>
  </si>
  <si>
    <t xml:space="preserve">Vivienda unifamiliar – EJEMPLO (reemplazar)</t>
  </si>
  <si>
    <t xml:space="preserve">Ubicación</t>
  </si>
  <si>
    <t xml:space="preserve">Mendoza – Capital</t>
  </si>
  <si>
    <t xml:space="preserve">Comitente</t>
  </si>
  <si>
    <t xml:space="preserve">Proyectista / Responsable</t>
  </si>
  <si>
    <t xml:space="preserve">Fecha</t>
  </si>
  <si>
    <t xml:space="preserve">10/10/2026</t>
  </si>
  <si>
    <t xml:space="preserve">Revisión</t>
  </si>
  <si>
    <t xml:space="preserve">00</t>
  </si>
  <si>
    <t xml:space="preserve">2. Hormigón (CIRSOC 201-2005)</t>
  </si>
  <si>
    <t xml:space="preserve">Clase de hormigón</t>
  </si>
  <si>
    <t xml:space="preserve">H-25</t>
  </si>
  <si>
    <t xml:space="preserve">Lista desplegable. Mínimo habitual H-20; INPRES-CIRSOC 103 P.III 4.2.1 exige f'c ≥ 20 MPa en encadenados.</t>
  </si>
  <si>
    <t xml:space="preserve">Resistencia especificada f'c</t>
  </si>
  <si>
    <t xml:space="preserve">MPa</t>
  </si>
  <si>
    <t xml:space="preserve">Módulo de elasticidad Ec = 4700·√f'c</t>
  </si>
  <si>
    <t xml:space="preserve">CIRSOC 201 §8.5.1</t>
  </si>
  <si>
    <t xml:space="preserve">Factor β1</t>
  </si>
  <si>
    <t xml:space="preserve">–</t>
  </si>
  <si>
    <t xml:space="preserve">CIRSOC 201 §10.2.7.3</t>
  </si>
  <si>
    <t xml:space="preserve">Peso unitario H°A°</t>
  </si>
  <si>
    <t xml:space="preserve">kN/m³</t>
  </si>
  <si>
    <t xml:space="preserve">CIRSOC 101 Tabla 3.1 (hormigón armado = 25 kN/m³). Se usa en TODAS las hojas.</t>
  </si>
  <si>
    <t xml:space="preserve">Peso unitario H° simple / ciclópeo</t>
  </si>
  <si>
    <t xml:space="preserve">Cimientos de hormigón ciclópeo (la planilla original usaba 2200 kg/m³).</t>
  </si>
  <si>
    <t xml:space="preserve">Recubrimiento libre – vigas y columnas</t>
  </si>
  <si>
    <t xml:space="preserve">mm</t>
  </si>
  <si>
    <t xml:space="preserve">CIRSOC 201 §7.7 (interior 40 mm; ambientes agresivos o a la intemperie: aumentar).</t>
  </si>
  <si>
    <t xml:space="preserve">Recubrimiento libre – losas</t>
  </si>
  <si>
    <t xml:space="preserve">CIRSOC 201 §7.7 (losas y tabiques interiores 20 mm).</t>
  </si>
  <si>
    <t xml:space="preserve">Recubrimiento libre – fundaciones (contra el suelo)</t>
  </si>
  <si>
    <t xml:space="preserve">CIRSOC 201 §7.7 (hormigón en contacto permanente con el suelo: 70 mm).</t>
  </si>
  <si>
    <t xml:space="preserve">3. Acero (CIRSOC 201-2005)</t>
  </si>
  <si>
    <t xml:space="preserve">Acero longitudinal</t>
  </si>
  <si>
    <t xml:space="preserve">ADN 420</t>
  </si>
  <si>
    <t xml:space="preserve">Lista desplegable.</t>
  </si>
  <si>
    <t xml:space="preserve">Tensión de fluencia fy</t>
  </si>
  <si>
    <t xml:space="preserve">Acero de estribos</t>
  </si>
  <si>
    <t xml:space="preserve">Tensión de fluencia de estribos fyt</t>
  </si>
  <si>
    <t xml:space="preserve">Módulo de elasticidad del acero Es</t>
  </si>
  <si>
    <t xml:space="preserve">CIRSOC 201 §8.5.2</t>
  </si>
  <si>
    <t xml:space="preserve">4. Suelo y fundaciones</t>
  </si>
  <si>
    <t xml:space="preserve">Tensión admisible del suelo σadm</t>
  </si>
  <si>
    <t xml:space="preserve">kPa</t>
  </si>
  <si>
    <t xml:space="preserve">DATO DEL ESTUDIO DE SUELOS. (150 kPa ≈ 1,5 kgf/cm²; es un valor de EJEMPLO.)</t>
  </si>
  <si>
    <t xml:space="preserve">σadm equivalente</t>
  </si>
  <si>
    <t xml:space="preserve">kgf/cm²</t>
  </si>
  <si>
    <t xml:space="preserve">Profundidad de fundación Df</t>
  </si>
  <si>
    <t xml:space="preserve">m</t>
  </si>
  <si>
    <t xml:space="preserve">Desde el nivel del terreno a la base de la fundación.</t>
  </si>
  <si>
    <t xml:space="preserve">Peso unitario del suelo γs</t>
  </si>
  <si>
    <t xml:space="preserve">CIRSOC 101 Tabla 3.1 (suelo no sumergido) o del estudio de suelos.</t>
  </si>
  <si>
    <t xml:space="preserve">Peso unitario de mampostería con revoque</t>
  </si>
  <si>
    <t xml:space="preserve">CIRSOC 101 Tabla 3.1 (ladrillo macizo común con revoque = 17 kN/m³).</t>
  </si>
  <si>
    <t xml:space="preserve">5. Mampostería (INPRES-CIRSOC 103 Parte III – 2018)</t>
  </si>
  <si>
    <t xml:space="preserve">Tipo de mampuesto</t>
  </si>
  <si>
    <t xml:space="preserve">Ladrillos cerámicos macizos</t>
  </si>
  <si>
    <t xml:space="preserve">Tipo de mortero de asiento</t>
  </si>
  <si>
    <t xml:space="preserve">N</t>
  </si>
  <si>
    <t xml:space="preserve">E = elevada · I = intermedia · N = normal · NA = cemento de albañilería (Tabla 2.1).</t>
  </si>
  <si>
    <t xml:space="preserve">Resistencia a compresión f'm</t>
  </si>
  <si>
    <t xml:space="preserve">Tabla 2.4 (valores indicativos)</t>
  </si>
  <si>
    <t xml:space="preserve">Resistencia al corte f'v</t>
  </si>
  <si>
    <t xml:space="preserve">Tabla 2.5 (valores indicativos)</t>
  </si>
  <si>
    <t xml:space="preserve">Módulo de elasticidad Em = 1200·f'm</t>
  </si>
  <si>
    <t xml:space="preserve">Art. 2.4.1</t>
  </si>
  <si>
    <t xml:space="preserve">Módulo de corte Gm</t>
  </si>
  <si>
    <t xml:space="preserve">Art. 2.4.2: 0,20·Em (ladrillo macizo) · 0,10·Em (bloques huecos). La planilla original usaba 0,4·E (error).</t>
  </si>
  <si>
    <t xml:space="preserve">Leyenda de colores: celda amarilla con letra azul = dato que se carga · celda blanca = fórmula (no tocar) · letra verde = valor traído de otra hoja.</t>
  </si>
  <si>
    <t xml:space="preserve">ANÁLISIS DE CARGAS Y COMBINACIONES (CIRSOC 101-2005 y CIRSOC 201-2005 §9.2)</t>
  </si>
  <si>
    <t xml:space="preserve">Se cargan las capas de cada nivel eligiendo el material de la lista (CIRSOC 101 Tabla 3.1). El peso propio de la estructura (losa) se agrega en la hoja Losas.</t>
  </si>
  <si>
    <t xml:space="preserve">CARGA PERMANENTE D – TECHO / CUBIERTA (sin peso propio de la losa)</t>
  </si>
  <si>
    <t xml:space="preserve">Material (elegir de la lista)</t>
  </si>
  <si>
    <t xml:space="preserve">γ [kN/m³]</t>
  </si>
  <si>
    <t xml:space="preserve">q [kN/m²]</t>
  </si>
  <si>
    <t xml:space="preserve">e / h [m]</t>
  </si>
  <si>
    <t xml:space="preserve">b [m]</t>
  </si>
  <si>
    <t xml:space="preserve">sep [m]</t>
  </si>
  <si>
    <t xml:space="preserve">α [°]</t>
  </si>
  <si>
    <t xml:space="preserve">q calculado [kN/m²]</t>
  </si>
  <si>
    <t xml:space="preserve">Observación</t>
  </si>
  <si>
    <t xml:space="preserve">Cubierta impermeabilizante con base de tela o cartón asfáltico de siete capas</t>
  </si>
  <si>
    <t xml:space="preserve">Contrapiso de cemento, arena y cascote</t>
  </si>
  <si>
    <t xml:space="preserve">Mortero de cemento pórtland y arena</t>
  </si>
  <si>
    <t xml:space="preserve">Yeso con metal desplegado</t>
  </si>
  <si>
    <t xml:space="preserve">Estructura de cubierta liviana (correas / perfil de chapa plegada) – opcional</t>
  </si>
  <si>
    <t xml:space="preserve">kN/m</t>
  </si>
  <si>
    <t xml:space="preserve">q = peso/sep (sep entre correas)</t>
  </si>
  <si>
    <t xml:space="preserve">D TECHO / CUBIERTA (sin peso propio de losa)</t>
  </si>
  <si>
    <t xml:space="preserve">kN/m²</t>
  </si>
  <si>
    <t xml:space="preserve">CARGA PERMANENTE D – ENTREPISO (sin peso propio de la losa)</t>
  </si>
  <si>
    <t xml:space="preserve">Baldosa cerámica, 12 mm de espesor</t>
  </si>
  <si>
    <t xml:space="preserve">D ENTREPISO (sin peso propio de losa)</t>
  </si>
  <si>
    <t xml:space="preserve">SOBRECARGAS (CIRSOC 101 Tabla 4.1)</t>
  </si>
  <si>
    <t xml:space="preserve">Destino (elegir de la lista)</t>
  </si>
  <si>
    <t xml:space="preserve">L [kN/m²]</t>
  </si>
  <si>
    <t xml:space="preserve">Valor adoptado</t>
  </si>
  <si>
    <t xml:space="preserve">Uso</t>
  </si>
  <si>
    <t xml:space="preserve">Azoteas y terrazas inaccesibles</t>
  </si>
  <si>
    <t xml:space="preserve">Lr  (techo)</t>
  </si>
  <si>
    <t xml:space="preserve">Usos Residenciales (casa habitación, departamentos): viviendas para 1 y 2 familias - todas las áreas excepto balcones</t>
  </si>
  <si>
    <t xml:space="preserve">L  (entrepiso)</t>
  </si>
  <si>
    <t xml:space="preserve">Sobrecarga de uso sobre el techo (terraza usable como piso) – 0 si no corresponde</t>
  </si>
  <si>
    <t xml:space="preserve">L  (techo)</t>
  </si>
  <si>
    <t xml:space="preserve">Sobrecarga de techo sobre el entrepiso – 0 si no corresponde</t>
  </si>
  <si>
    <t xml:space="preserve">Lr (entrepiso)</t>
  </si>
  <si>
    <t xml:space="preserve">Factor de L en las combinaciones (0,5 salvo cocheras, locales de reunión pública o L &gt; 4,8 kN/m² → 1,0)</t>
  </si>
  <si>
    <t xml:space="preserve">CIRSOC 201 §9.2.1</t>
  </si>
  <si>
    <t xml:space="preserve">COMBINACIONES DE CARGA (CIRSOC 201-2005 §9.2) – sin viento ni sismo</t>
  </si>
  <si>
    <t xml:space="preserve">Peso propio estimado de la losa para esta verificación orientativa: espesor h [m]</t>
  </si>
  <si>
    <t xml:space="preserve">(la hoja Losas usa el h real)</t>
  </si>
  <si>
    <t xml:space="preserve">Combinación</t>
  </si>
  <si>
    <t xml:space="preserve">TECHO [kN/m²]</t>
  </si>
  <si>
    <t xml:space="preserve">ENTREPISO [kN/m²]</t>
  </si>
  <si>
    <t xml:space="preserve">D' = D + γH°A°·h_est   (carga permanente total)</t>
  </si>
  <si>
    <t xml:space="preserve">U1 = 1,4·D'</t>
  </si>
  <si>
    <t xml:space="preserve">U2 = 1,2·D' + 1,6·L + 0,5·Lr</t>
  </si>
  <si>
    <t xml:space="preserve">U3 = 1,2·D' + 1,6·Lr + fL·L</t>
  </si>
  <si>
    <t xml:space="preserve">Combinación gobernante  qu = máx(U1, U2, U3)</t>
  </si>
  <si>
    <t xml:space="preserve">Servicio  D' + L + Lr  (deformaciones y fundaciones)</t>
  </si>
  <si>
    <t xml:space="preserve">Viento (CIRSOC 102) y nieve (CIRSOC 104) no están incluidos: si corresponden, agregar las combinaciones 9-3, 9-4 y 9-6 de CIRSOC 201 §9.2. Las combinaciones con sismo se arman en las hojas Sismo y Muros (INPRES-CIRSOC 103: 1,2D + E + f1·L y 0,9D + E).</t>
  </si>
  <si>
    <t xml:space="preserve">CARGA LINEAL DE MAMPOSTERÍA SOBRE VIGAS Y CIMIENTOS</t>
  </si>
  <si>
    <t xml:space="preserve">Tipo de mampostería (elegir de la lista)</t>
  </si>
  <si>
    <t xml:space="preserve">e [m]</t>
  </si>
  <si>
    <t xml:space="preserve">h [m]</t>
  </si>
  <si>
    <t xml:space="preserve">Carga lineal [kN/m]</t>
  </si>
  <si>
    <t xml:space="preserve">Mampostería con revoque o completa, mortero a la cal o cemento: Ladrillo hueco cerámico portante, % huecos menor que 60</t>
  </si>
  <si>
    <t xml:space="preserve">usar en Vigas / Fundaciones</t>
  </si>
  <si>
    <t xml:space="preserve">LOSAS MACIZAS ARMADAS EN UNA DIRECCIÓN (CIRSOC 201-2005)</t>
  </si>
  <si>
    <t xml:space="preserve">Franja de 1 m de ancho. Se cargan los datos en las celdas amarillas; la hoja predimensiona, calcula esfuerzos y verifica la armadura. Los resultados 'CUMPLE / NO CUMPLE' indican si la verificación se satisface.</t>
  </si>
  <si>
    <t xml:space="preserve">1. Predimensionado de espesor – CIRSOC 201 Tabla 9.5(a)</t>
  </si>
  <si>
    <t xml:space="preserve">Losa</t>
  </si>
  <si>
    <t xml:space="preserve">Tipo de elemento</t>
  </si>
  <si>
    <t xml:space="preserve">Condición de apoyo</t>
  </si>
  <si>
    <t xml:space="preserve">Luz L [m]</t>
  </si>
  <si>
    <t xml:space="preserve">Divisor (L/x)</t>
  </si>
  <si>
    <t xml:space="preserve">Factor fy</t>
  </si>
  <si>
    <t xml:space="preserve">h mín [cm]</t>
  </si>
  <si>
    <t xml:space="preserve">h adoptado [cm]</t>
  </si>
  <si>
    <t xml:space="preserve">Verificación</t>
  </si>
  <si>
    <t xml:space="preserve">L1</t>
  </si>
  <si>
    <t xml:space="preserve">Losa maciza en una dirección</t>
  </si>
  <si>
    <t xml:space="preserve">Simplemente apoyado</t>
  </si>
  <si>
    <t xml:space="preserve">L2</t>
  </si>
  <si>
    <t xml:space="preserve">Un extremo continuo</t>
  </si>
  <si>
    <t xml:space="preserve">L3</t>
  </si>
  <si>
    <t xml:space="preserve">Voladizo</t>
  </si>
  <si>
    <t xml:space="preserve">El factor fy corrige los divisores para aceros distintos de 420 MPa: (0,4 + fy/700). Se verifica deformación solo por altura mínima; si h &lt; h mín hay que calcular flechas (CIRSOC 201 §9.5).</t>
  </si>
  <si>
    <t xml:space="preserve">2. Cargas y esfuerzos (franja de 1 m)</t>
  </si>
  <si>
    <t xml:space="preserve">Nivel</t>
  </si>
  <si>
    <t xml:space="preserve">Esquema estático</t>
  </si>
  <si>
    <t xml:space="preserve">L [m]</t>
  </si>
  <si>
    <t xml:space="preserve">h [cm]</t>
  </si>
  <si>
    <t xml:space="preserve">D' [kN/m²]</t>
  </si>
  <si>
    <t xml:space="preserve">Lr [kN/m²]</t>
  </si>
  <si>
    <t xml:space="preserve">qu [kN/m²]</t>
  </si>
  <si>
    <t xml:space="preserve">Mu(+) [kNm/m]</t>
  </si>
  <si>
    <t xml:space="preserve">Mu(−) apoyo [kNm/m]</t>
  </si>
  <si>
    <t xml:space="preserve">Vu [kN/m]</t>
  </si>
  <si>
    <t xml:space="preserve">Reacción apoyo ext. [kN/m]</t>
  </si>
  <si>
    <t xml:space="preserve">Reacción apoyo central [kN/m]</t>
  </si>
  <si>
    <t xml:space="preserve">TECHO</t>
  </si>
  <si>
    <t xml:space="preserve">Simplemente apoyada</t>
  </si>
  <si>
    <t xml:space="preserve">ENTREPISO</t>
  </si>
  <si>
    <t xml:space="preserve">Continua 2 tramos</t>
  </si>
  <si>
    <t xml:space="preserve">qu = máx(1,4·D'; 1,2·D'+1,6·L+0,5·Lr; 1,2·D'+1,6·Lr+fL·L) – CIRSOC 201 §9.2 – con D' = D de Cargas + peso propio γH°A°·h. Voladizo: Mu(−) = qu·L²/2 y Vu = qu·L; la armadura principal va arriba (tabla 3B). Continua 2 tramos: tramos iguales, apoyo extremo simple; Mu(+) = qu·L²/11, Mu(−) = qu·L²/9 y Vu = 1,15·qu·L/2 (CIRSOC 201 §8.3.3). Las reacciones se usan como carga mayorada sobre las vigas de apoyo (en el apoyo central suman los dos tramos).</t>
  </si>
  <si>
    <t xml:space="preserve">3A. Armadura principal de TRAMO (positiva) – flexión CIRSOC 201 cap. 10</t>
  </si>
  <si>
    <t xml:space="preserve">d [cm]</t>
  </si>
  <si>
    <t xml:space="preserve">Mu [kNm/m]</t>
  </si>
  <si>
    <t xml:space="preserve">Rn [MPa]</t>
  </si>
  <si>
    <t xml:space="preserve">ρ req.</t>
  </si>
  <si>
    <t xml:space="preserve">As req. [cm²/m]</t>
  </si>
  <si>
    <t xml:space="preserve">As mín. [cm²/m]</t>
  </si>
  <si>
    <t xml:space="preserve">φ barra [mm]</t>
  </si>
  <si>
    <t xml:space="preserve">Separación [cm]</t>
  </si>
  <si>
    <t xml:space="preserve">As adopt. [cm²/m]</t>
  </si>
  <si>
    <t xml:space="preserve">φMn [kNm/m]</t>
  </si>
  <si>
    <t xml:space="preserve">Sep. máx. [cm]</t>
  </si>
  <si>
    <t xml:space="preserve">As req. por ρ = 0,85·f'c/fy·(1 − √(1 − 2Rn/(0,85·f'c))), φ = 0,9 (sección controlada por tracción; si no, el programa avisa 'AUMENTAR h'). As mín. = retracción y temperatura (CIRSOC 201 §7.12 y §10.5.4). Separación máxima = menor de 3h y 450 mm.</t>
  </si>
  <si>
    <t xml:space="preserve">3B. Armadura de APOYO (negativa) – solo losas continuas o en voladizo</t>
  </si>
  <si>
    <t xml:space="preserve">3C. Corte y armadura de reparto (retracción y temperatura)</t>
  </si>
  <si>
    <t xml:space="preserve">φVc [kN/m]</t>
  </si>
  <si>
    <t xml:space="preserve">Corte</t>
  </si>
  <si>
    <t xml:space="preserve">φ reparto [mm]</t>
  </si>
  <si>
    <t xml:space="preserve">Sep. reparto [cm]</t>
  </si>
  <si>
    <t xml:space="preserve">As reparto [cm²/m]</t>
  </si>
  <si>
    <t xml:space="preserve">Reparto</t>
  </si>
  <si>
    <t xml:space="preserve">Corte: φVc = 0,75·(√f'c/6)·b·d (losa sin estribos; se verifica con Vu en la cara del apoyo, del lado seguro). Armadura de reparto: separación máxima = menor de 5h y 450 mm (CIRSOC 201 §7.12.2.2).</t>
  </si>
  <si>
    <t xml:space="preserve">VIGUETAS PRETENSADAS Y CORREAS DE MADERA</t>
  </si>
  <si>
    <t xml:space="preserve">Sistemas livianos de entrepiso y cubierta. Verificación de flexión, corte y flecha con cargas de servicio (las cargas D, L y Lr se toman de la hoja Cargas).</t>
  </si>
  <si>
    <t xml:space="preserve">1. Viguetas pretensadas (sistema vigueta + bovedilla + capa de compresión)</t>
  </si>
  <si>
    <t xml:space="preserve">Cargas a utilizar en la verificación:</t>
  </si>
  <si>
    <t xml:space="preserve">Servicio</t>
  </si>
  <si>
    <t xml:space="preserve">Confirmar en el catálogo del fabricante si M adm es momento de servicio o último (la planilla original lo mezclaba).</t>
  </si>
  <si>
    <t xml:space="preserve">Vigueta</t>
  </si>
  <si>
    <t xml:space="preserve">Serie</t>
  </si>
  <si>
    <t xml:space="preserve">Separación entre ejes [m]</t>
  </si>
  <si>
    <t xml:space="preserve">Peso propio del sistema [kN/m²]</t>
  </si>
  <si>
    <t xml:space="preserve">q de cálculo [kN/m²]</t>
  </si>
  <si>
    <t xml:space="preserve">q lineal [kN/m]</t>
  </si>
  <si>
    <t xml:space="preserve">M [kNm]</t>
  </si>
  <si>
    <t xml:space="preserve">V [kN]</t>
  </si>
  <si>
    <t xml:space="preserve">M adm [kNm]</t>
  </si>
  <si>
    <t xml:space="preserve">VP1</t>
  </si>
  <si>
    <t xml:space="preserve">Serie 3a</t>
  </si>
  <si>
    <t xml:space="preserve">VP2</t>
  </si>
  <si>
    <t xml:space="preserve">Serie 2a</t>
  </si>
  <si>
    <t xml:space="preserve">Corrección respecto de la planilla original: el momento admisible se leía como 5,61 + valor de la serie (se sumaba siempre 5,61 kNm); ahora se toma directamente el valor de la serie. El peso propio del sistema (vigueta + bovedilla + capa) es dato del fabricante: 2,5 kN/m² es un valor de ejemplo. Verificar además la flecha y los apoyos con el catálogo.</t>
  </si>
  <si>
    <t xml:space="preserve">2. Correas de madera (verificación por tensiones admisibles, cargas de servicio)</t>
  </si>
  <si>
    <t xml:space="preserve">Correa</t>
  </si>
  <si>
    <t xml:space="preserve">Sección (pino laminado)</t>
  </si>
  <si>
    <t xml:space="preserve">Separación [m]</t>
  </si>
  <si>
    <t xml:space="preserve">Pendiente α [°]</t>
  </si>
  <si>
    <t xml:space="preserve">E [MPa]</t>
  </si>
  <si>
    <t xml:space="preserve">Fb adm [MPa]</t>
  </si>
  <si>
    <t xml:space="preserve">Fv adm [MPa]</t>
  </si>
  <si>
    <t xml:space="preserve">σ flexión [MPa]</t>
  </si>
  <si>
    <t xml:space="preserve">τ corte [MPa]</t>
  </si>
  <si>
    <t xml:space="preserve">Flecha [mm]</t>
  </si>
  <si>
    <t xml:space="preserve">Flecha adm. L/x</t>
  </si>
  <si>
    <t xml:space="preserve">C1</t>
  </si>
  <si>
    <t xml:space="preserve">Pino Laminado 4" x 9" (9 x 22,2 cm)</t>
  </si>
  <si>
    <t xml:space="preserve">Cargas de servicio: q = (D + L + Lr)·separación + peso propio de la correa. Flecha = 5·q·cosα·L⁴/(384·E·I) con E en kN/m² (1 MPa = 1000 kN/m²); la planilla original multiplicaba dos veces por la separación y mezclaba unidades (el resultado era ≈ 50 veces mayor que el real). Los valores admisibles Fb, Fv y E son datos de la clase resistente de la madera (CIRSOC 601): los de ejemplo son los de la planilla original; reemplazar por los del material adoptado. Flecha admisible L/300 en cubiertas, L/200 en entrepisos (valor orientativo).</t>
  </si>
  <si>
    <t xml:space="preserve">VIGAS DE HORMIGÓN ARMADO (CIRSOC 201-2005)</t>
  </si>
  <si>
    <t xml:space="preserve">Sección rectangular con armadura simple en una capa. Esfuerzos por coeficientes aproximados (CIRSOC 201 §8.3.3). Vigas con torsión, vigas T o análisis de pórtico: verificar aparte.</t>
  </si>
  <si>
    <t xml:space="preserve">1. Predimensionado de altura – CIRSOC 201 Tabla 9.5(a) (vigas)</t>
  </si>
  <si>
    <t xml:space="preserve">Viga</t>
  </si>
  <si>
    <t xml:space="preserve">V1</t>
  </si>
  <si>
    <t xml:space="preserve">V2</t>
  </si>
  <si>
    <t xml:space="preserve">2. Cargas y esfuerzos</t>
  </si>
  <si>
    <t xml:space="preserve">bw [cm]</t>
  </si>
  <si>
    <t xml:space="preserve">Estribo φ [mm]</t>
  </si>
  <si>
    <t xml:space="preserve">Reacción de losas mayorada [kN/m]</t>
  </si>
  <si>
    <t xml:space="preserve">D adicional (muros, etc.) [kN/m]</t>
  </si>
  <si>
    <t xml:space="preserve">L adicional [kN/m]</t>
  </si>
  <si>
    <t xml:space="preserve">D viga total [kN/m]</t>
  </si>
  <si>
    <t xml:space="preserve">qu [kN/m]</t>
  </si>
  <si>
    <t xml:space="preserve">Mu(+) [kNm]</t>
  </si>
  <si>
    <t xml:space="preserve">Mu(−) [kNm]</t>
  </si>
  <si>
    <t xml:space="preserve">Vu [kN]</t>
  </si>
  <si>
    <t xml:space="preserve">Continua 2 tramos – tramo extremo</t>
  </si>
  <si>
    <t xml:space="preserve">Las celdas con letra verde (reacciones de losas y mampostería) están vinculadas a las hojas Losas y Cargas; se pueden sobrescribir. qu = reacción de losas (ya mayorada) + máx(1,4·D; 1,2·D + 1,6·L) con D = peso propio de la viga + cargas permanentes adicionales. Mu = coeficiente·qu·L² (tabla de la hoja Tablas).</t>
  </si>
  <si>
    <t xml:space="preserve">3. Armadura longitudinal (flexión) – CIRSOC 201 cap. 10</t>
  </si>
  <si>
    <t xml:space="preserve">Sección</t>
  </si>
  <si>
    <t xml:space="preserve">Mu [kNm]</t>
  </si>
  <si>
    <t xml:space="preserve">N° barras</t>
  </si>
  <si>
    <t xml:space="preserve">As req. [cm²]</t>
  </si>
  <si>
    <t xml:space="preserve">As mín. [cm²]</t>
  </si>
  <si>
    <t xml:space="preserve">As adopt. [cm²]</t>
  </si>
  <si>
    <t xml:space="preserve">c/d (≤0,375)</t>
  </si>
  <si>
    <t xml:space="preserve">φMn [kNm]</t>
  </si>
  <si>
    <t xml:space="preserve">Sep. libre [mm]</t>
  </si>
  <si>
    <t xml:space="preserve">Sep. libre mín. [mm]</t>
  </si>
  <si>
    <t xml:space="preserve">d = h − recubrimiento − φ estribo − φ/2 (una sola capa). As mín. = máx(√f'c/(4·fy); 1,4/fy)·bw·d (§10.5.1). c/d ≤ 0,375 asegura sección controlada por tracción (εt ≥ 0,005, φ = 0,9). Separación libre entre barras ≥ máx(25 mm; φ) (§7.6.1). Sección rectangular también en el tramo (despreciar el ala de la losa es del lado seguro).</t>
  </si>
  <si>
    <t xml:space="preserve">4. Armadura transversal (corte) – CIRSOC 201 cap. 11</t>
  </si>
  <si>
    <t xml:space="preserve">Vu a d del apoyo [kN]</t>
  </si>
  <si>
    <t xml:space="preserve">φVc [kN]</t>
  </si>
  <si>
    <t xml:space="preserve">Vs req. [kN]</t>
  </si>
  <si>
    <t xml:space="preserve">Vs máx. [kN]</t>
  </si>
  <si>
    <t xml:space="preserve">Av/s necesario [mm²/mm]</t>
  </si>
  <si>
    <t xml:space="preserve">Ramas</t>
  </si>
  <si>
    <t xml:space="preserve">Separación adoptada [cm]</t>
  </si>
  <si>
    <t xml:space="preserve">Av/s adoptado [mm²/mm]</t>
  </si>
  <si>
    <t xml:space="preserve">Vu se toma a una distancia d del apoyo (§11.1.3.1). Vc = (√f'c/6)·bw·d; φ = 0,75. Av/s mín. = máx(√f'c/16; 0,35)·bw/fyt (§11.5.5.3). Separación máxima = d/2 ≤ 600 mm (d/4 ≤ 300 mm si Vs &gt; √f'c/3·bw·d). Los detalles de zonas de confinamiento para sismo (CIRSOC 201 cap. 21 e INPRES-CIRSOC 103) no están verificados en esta hoja.</t>
  </si>
  <si>
    <t xml:space="preserve">COLUMNAS DE HORMIGÓN ARMADO – FLEXOCOMPRESIÓN (CIRSOC 201-2005)</t>
  </si>
  <si>
    <t xml:space="preserve">Verificación directa con el diagrama de interacción P–M (compatibilidad de deformaciones, hoja Interaccion): reemplaza la lectura manual de ábacos de la planilla original. Flexión en el plano de h; estribos rectangulares.</t>
  </si>
  <si>
    <t xml:space="preserve">1. Cargas y esfuerzos de diseño</t>
  </si>
  <si>
    <t xml:space="preserve">Columna</t>
  </si>
  <si>
    <t xml:space="preserve">b [cm]</t>
  </si>
  <si>
    <t xml:space="preserve">h [cm] (plano de flexión)</t>
  </si>
  <si>
    <t xml:space="preserve">Altura libre lu [m]</t>
  </si>
  <si>
    <t xml:space="preserve">Área trib. TECHO [m²]</t>
  </si>
  <si>
    <t xml:space="preserve">Área trib. ENTREPISO [m²]</t>
  </si>
  <si>
    <t xml:space="preserve">Reacciones de vigas mayoradas [kN]</t>
  </si>
  <si>
    <t xml:space="preserve">Pu del nivel superior [kN]</t>
  </si>
  <si>
    <t xml:space="preserve">Peso propio mayorado [kN]</t>
  </si>
  <si>
    <t xml:space="preserve">Pu total [kN]</t>
  </si>
  <si>
    <t xml:space="preserve">k (long. efectiva)</t>
  </si>
  <si>
    <t xml:space="preserve">¿Pórtico arriostrado?</t>
  </si>
  <si>
    <t xml:space="preserve">M1/M2 (doble curv. −)</t>
  </si>
  <si>
    <t xml:space="preserve">SI</t>
  </si>
  <si>
    <t xml:space="preserve">C2</t>
  </si>
  <si>
    <t xml:space="preserve">C3</t>
  </si>
  <si>
    <t xml:space="preserve">Pu = qu·(área tributaria) de cada nivel (qu de la hoja Cargas) + reacciones de vigas + Pu del nivel superior + peso propio ×1,2. Mu = momento de diseño de la combinación que corresponda (análisis de pórtico o, si hay sismo, hoja Sismo). Se recomienda considerar la excentricidad mínima accidental en columnas cargadas casi centradas.</t>
  </si>
  <si>
    <t xml:space="preserve">2. Armadura y verificaciones</t>
  </si>
  <si>
    <t xml:space="preserve">N° total de barras</t>
  </si>
  <si>
    <t xml:space="preserve">Barras en cada cara extrema</t>
  </si>
  <si>
    <t xml:space="preserve">φ estribo [mm]</t>
  </si>
  <si>
    <t xml:space="preserve">Sep. estribos [cm]</t>
  </si>
  <si>
    <t xml:space="preserve">Ast [cm²]</t>
  </si>
  <si>
    <t xml:space="preserve">ρ = Ast/Ag [%]</t>
  </si>
  <si>
    <t xml:space="preserve">d' [cm]</t>
  </si>
  <si>
    <t xml:space="preserve">φPn,máx [kN]</t>
  </si>
  <si>
    <t xml:space="preserve">φMn a Pu [kNm]</t>
  </si>
  <si>
    <t xml:space="preserve">Mu / φMn</t>
  </si>
  <si>
    <t xml:space="preserve">k·lu/r</t>
  </si>
  <si>
    <t xml:space="preserve">Cuantía (1%–8%)</t>
  </si>
  <si>
    <t xml:space="preserve">Flexocompresión P–M</t>
  </si>
  <si>
    <t xml:space="preserve">Esbeltez ≤ límite</t>
  </si>
  <si>
    <t xml:space="preserve">Sep. máx. estribos [cm]</t>
  </si>
  <si>
    <t xml:space="preserve">Estribos</t>
  </si>
  <si>
    <t xml:space="preserve">Cuantía 1%–8% y mínimo 4 barras (CIRSOC 201 §10.9). φPn,máx = 0,80·0,65·[0,85·f'c·(Ag − Ast) + fy·Ast] (§10.3.6.2, estribos). Estribo ≥ φ6 (barras ≤ φ20) o φ10 (&gt; φ20); separación ≤ 16·φ barra, 48·φ estribo y menor dimensión (§7.10.5). Esbeltez: k·lu/r con r = 0,3·h; límite 34 − 12·M1/M2 (máx. 40) en pórticos arriostrados (muros, tabiques) y 22 en pórticos desplazables (§10.12.2 y §10.13.2); si no cumple, considerar los efectos de segundo orden. En zonas sísmicas verificar además el detallado de CIRSOC 201 cap. 21 / INPRES-CIRSOC 103 (estribos en zonas de confinamiento).</t>
  </si>
  <si>
    <t xml:space="preserve">DIAGRAMAS DE INTERACCIÓN P–M (cálculo para la hoja Columnas)</t>
  </si>
  <si>
    <t xml:space="preserve">Una sección por columna. Sección rectangular con 3 capas de armadura (cara comprimida, barras intermedias, cara traccionada). Compatibilidad de deformaciones, εcu = 0,003; φ según deformación de la armadura traccionada (CIRSOC 201 §9.3.2). No se editan datos aquí.</t>
  </si>
  <si>
    <t xml:space="preserve">b [mm]</t>
  </si>
  <si>
    <t xml:space="preserve">h [mm]</t>
  </si>
  <si>
    <t xml:space="preserve">d1 [mm]</t>
  </si>
  <si>
    <t xml:space="preserve">d2 [mm]</t>
  </si>
  <si>
    <t xml:space="preserve">As1 [mm²]</t>
  </si>
  <si>
    <t xml:space="preserve">As2 [mm²]</t>
  </si>
  <si>
    <t xml:space="preserve">As3 [mm²]</t>
  </si>
  <si>
    <t xml:space="preserve">Po [kN]</t>
  </si>
  <si>
    <t xml:space="preserve">φPn,máx (a Columnas)</t>
  </si>
  <si>
    <t xml:space="preserve">c / h</t>
  </si>
  <si>
    <t xml:space="preserve">c [mm]</t>
  </si>
  <si>
    <t xml:space="preserve">a [mm]</t>
  </si>
  <si>
    <t xml:space="preserve">εs1</t>
  </si>
  <si>
    <t xml:space="preserve">εs3</t>
  </si>
  <si>
    <t xml:space="preserve">εs2</t>
  </si>
  <si>
    <t xml:space="preserve">fs1 [MPa]</t>
  </si>
  <si>
    <t xml:space="preserve">fs3 [MPa]</t>
  </si>
  <si>
    <t xml:space="preserve">fs2 [MPa]</t>
  </si>
  <si>
    <t xml:space="preserve">Pn [kN]</t>
  </si>
  <si>
    <t xml:space="preserve">Mn [kNm]</t>
  </si>
  <si>
    <t xml:space="preserve">εt</t>
  </si>
  <si>
    <t xml:space="preserve">φ</t>
  </si>
  <si>
    <t xml:space="preserve">φPn [kN]</t>
  </si>
  <si>
    <t xml:space="preserve">φMn disponible para Pu:</t>
  </si>
  <si>
    <t xml:space="preserve">Punto de diseño (Mu ; Pu):</t>
  </si>
  <si>
    <t xml:space="preserve">ACCIÓN SÍSMICA – MÉTODO ESTÁTICO (INPRES-CIRSOC 103 Parte I)</t>
  </si>
  <si>
    <t xml:space="preserve">Define el coeficiente sísmico C, los pesos por nivel, el corte basal V0 y su distribución en altura. Toda la información sísmica se carga solo en esta hoja (en la planilla original estaba repetida y desactualizada en tres hojas).</t>
  </si>
  <si>
    <t xml:space="preserve">1. Datos sísmicos</t>
  </si>
  <si>
    <t xml:space="preserve">Zona sísmica (1 a 4) – según el mapa de zonificación y localidad (Cap. 2)</t>
  </si>
  <si>
    <t xml:space="preserve">Tipo espectral del suelo (1 = SA/SB/SC · 2 = SD · 3 = SE)</t>
  </si>
  <si>
    <t xml:space="preserve">Coeficiente Na</t>
  </si>
  <si>
    <t xml:space="preserve">Coeficiente Nv</t>
  </si>
  <si>
    <t xml:space="preserve">Grupo de la construcción</t>
  </si>
  <si>
    <t xml:space="preserve">Grupo B</t>
  </si>
  <si>
    <t xml:space="preserve">Factor de riesgo γr</t>
  </si>
  <si>
    <t xml:space="preserve">Sistema estructural (Tabla 5.1)</t>
  </si>
  <si>
    <t xml:space="preserve">8 - Encadenada simple (ladrillo macizo)</t>
  </si>
  <si>
    <t xml:space="preserve">A – grado de acoplamiento (solo ítem 1, tabiques)</t>
  </si>
  <si>
    <t xml:space="preserve">Ar = hw/Lw (solo ítem 1, tabiques)</t>
  </si>
  <si>
    <t xml:space="preserve">Factor de reducción R</t>
  </si>
  <si>
    <t xml:space="preserve">Factor de amplificación de desplazamientos Cd</t>
  </si>
  <si>
    <t xml:space="preserve">Factor de sobrerresistencia Ωo</t>
  </si>
  <si>
    <t xml:space="preserve">Altura total de la construcción sobre la base H [m]</t>
  </si>
  <si>
    <t xml:space="preserve">Sistema para estimar el período aproximado (Tabla 6.2)</t>
  </si>
  <si>
    <t xml:space="preserve">Otros sistemas (mampostería, tabiques de H°A°, etc.)</t>
  </si>
  <si>
    <t xml:space="preserve">Período calculado T [s] (opcional, dejar vacío si no se calculó)</t>
  </si>
  <si>
    <t xml:space="preserve">s</t>
  </si>
  <si>
    <t xml:space="preserve">Zona 0 y construcciones del Grupo A₀ en zonas de baja peligrosidad: ver Cap. 2 del reglamento. Na = 1,0 y Nv = 1,2 salvo cercanía a fallas activas (Cap. 3).</t>
  </si>
  <si>
    <t xml:space="preserve">2. Espectro y coeficiente sísmico C</t>
  </si>
  <si>
    <t xml:space="preserve">Aceleración pico del suelo as [g]</t>
  </si>
  <si>
    <t xml:space="preserve">Ca (Tabla 3.1; × Na en zonas 3 y 4)</t>
  </si>
  <si>
    <t xml:space="preserve">Cv (Tabla 3.1; × Nv en zonas 3 y 4)</t>
  </si>
  <si>
    <t xml:space="preserve">T3 [s] (Tabla 3.2)</t>
  </si>
  <si>
    <t xml:space="preserve">T2 = Cv / (2,5·Ca) [s]</t>
  </si>
  <si>
    <t xml:space="preserve">T1 = 0,2·T2 [s]</t>
  </si>
  <si>
    <t xml:space="preserve">Cu (Tabla 6.1)</t>
  </si>
  <si>
    <t xml:space="preserve">Cr (Tabla 6.2)</t>
  </si>
  <si>
    <t xml:space="preserve">x (Tabla 6.2)</t>
  </si>
  <si>
    <t xml:space="preserve">Período aproximado Ta = Cr·H^x [s]</t>
  </si>
  <si>
    <t xml:space="preserve">Período adoptado T [s]  (si se calculó: no mayor que Cu·Ta)</t>
  </si>
  <si>
    <t xml:space="preserve">Ordenada espectral Sa(T) [g]</t>
  </si>
  <si>
    <t xml:space="preserve">C = 2,5·Ca·γr/R  (T ≤ T2)  ó  Sa·γr/R  (T &gt; T2)</t>
  </si>
  <si>
    <t xml:space="preserve">C mínimo: 0,8·as·Nv·γr/R (zonas 3 y 4) · 0,11·Ca·γr (zonas 1 y 2)</t>
  </si>
  <si>
    <t xml:space="preserve">COEFICIENTE SÍSMICO ADOPTADO  C = máx(C ; C mín.)</t>
  </si>
  <si>
    <t xml:space="preserve">Fracción vertical de la carga permanente Ev/D = 0,5·Ca·γr</t>
  </si>
  <si>
    <t xml:space="preserve">Rama del espectro</t>
  </si>
  <si>
    <t xml:space="preserve">Para mampostería y tabiques el reglamento propone Ta = 0,0062·H/√Cw (Cap. 6.2.3): con construcciones bajas T resulta menor que T2 y C queda en la meseta, por lo que el resultado no cambia. Si T &gt; T2, calcular T aparte e ingresarlo en la celda 'Período calculado'.</t>
  </si>
  <si>
    <t xml:space="preserve">3. Pesos sísmicos por nivel  W = D + f1·L  (Art. 3.6 y Tabla 3.3)</t>
  </si>
  <si>
    <t xml:space="preserve">Altura hk sobre la base [m]</t>
  </si>
  <si>
    <t xml:space="preserve">Área de planta [m²]</t>
  </si>
  <si>
    <t xml:space="preserve">Tipo de carga</t>
  </si>
  <si>
    <t xml:space="preserve">h losa [cm]</t>
  </si>
  <si>
    <t xml:space="preserve">Destino para f1 (Tabla 3.3)</t>
  </si>
  <si>
    <t xml:space="preserve">f1</t>
  </si>
  <si>
    <t xml:space="preserve">W losa + cubierta [kN]</t>
  </si>
  <si>
    <t xml:space="preserve">W muros [kN]</t>
  </si>
  <si>
    <t xml:space="preserve">W otros [kN]</t>
  </si>
  <si>
    <t xml:space="preserve">W nivel [kN]</t>
  </si>
  <si>
    <t xml:space="preserve">Nivel 1 (techo en vivienda de 1 planta)</t>
  </si>
  <si>
    <t xml:space="preserve">Azoteas y techos inaccesibles</t>
  </si>
  <si>
    <t xml:space="preserve">Nivel 2</t>
  </si>
  <si>
    <t xml:space="preserve">Nivel 3</t>
  </si>
  <si>
    <t xml:space="preserve">W muros del nivel k = ½ de los muros del piso k (parte superior) + ½ de los muros del piso k+1 (parte inferior); la mitad inferior del primer piso va a la fundación (Art. 3.6.1). W otros: vigas, columnas, tabiques livianos, tanques, etc.</t>
  </si>
  <si>
    <t xml:space="preserve">Pesos de muros por piso</t>
  </si>
  <si>
    <t xml:space="preserve">Muros (descripción)</t>
  </si>
  <si>
    <t xml:space="preserve">Piso (1, 2, 3)</t>
  </si>
  <si>
    <t xml:space="preserve">Longitud total [m]</t>
  </si>
  <si>
    <t xml:space="preserve">Espesor [m]</t>
  </si>
  <si>
    <t xml:space="preserve">Altura [m]</t>
  </si>
  <si>
    <t xml:space="preserve">Peso [kN]</t>
  </si>
  <si>
    <t xml:space="preserve">(ejemplo cargado en la primera fila; reemplazar)</t>
  </si>
  <si>
    <t xml:space="preserve">Muros de mampostería de planta baja</t>
  </si>
  <si>
    <t xml:space="preserve">4. Corte basal y distribución en altura</t>
  </si>
  <si>
    <t xml:space="preserve">Peso sísmico total W [kN]</t>
  </si>
  <si>
    <t xml:space="preserve">Corte basal V0 = C·W [kN]  (Art. 6.1)</t>
  </si>
  <si>
    <t xml:space="preserve">V0 / W</t>
  </si>
  <si>
    <t xml:space="preserve">hk [m]</t>
  </si>
  <si>
    <t xml:space="preserve">Wk [kN]</t>
  </si>
  <si>
    <t xml:space="preserve">Wk·hk [kN·m]</t>
  </si>
  <si>
    <t xml:space="preserve">Fk [kN]</t>
  </si>
  <si>
    <t xml:space="preserve">Vk (corte de piso) [kN]</t>
  </si>
  <si>
    <t xml:space="preserve">Σ</t>
  </si>
  <si>
    <t xml:space="preserve">Nivel a distribuir en planta en la hoja Sismo 2 (1, 2 o 3)</t>
  </si>
  <si>
    <t xml:space="preserve">Fuerza sísmica horizontal F del nivel elegido [kN]</t>
  </si>
  <si>
    <t xml:space="preserve">Si T ≤ 2·T2: Fk = V0·Wk·hk/Σ(Wi·hi). Si T &gt; 2·T2 se reserva 0,10·V0 en el nivel superior (Art. 6.4). En construcciones de varios niveles repetir la hoja Sismo 2 para cada nivel. Combinaciones con sismo (CIRSOC 201/103): 1,2·D + E + f1·L y 0,9·D + E, con E = Eh ± Ev.</t>
  </si>
  <si>
    <t xml:space="preserve">CENTROS DE MASA Y RIGIDEZ · TORSIÓN · DISTRIBUCIÓN DE LA FUERZA SÍSMICA EN PLANTA</t>
  </si>
  <si>
    <t xml:space="preserve">Reparte la fuerza sísmica del nivel (hoja Sismo 1) entre los elementos resistentes (muros, tabiques, pórticos) en proporción a su rigidez, y agrega el efecto de la torsión (excentricidad inherente CM–CR + accidental, Art. 6.2.4 y Tabla 6.3).</t>
  </si>
  <si>
    <t xml:space="preserve">1. Datos generales</t>
  </si>
  <si>
    <t xml:space="preserve">Fuerza sísmica F en cada dirección [kN]</t>
  </si>
  <si>
    <t xml:space="preserve">← de la hoja Sismo 1 (se puede sobrescribir)</t>
  </si>
  <si>
    <t xml:space="preserve">Irregularidad torsional (Tabla 6.3)</t>
  </si>
  <si>
    <t xml:space="preserve">Media (5 %)</t>
  </si>
  <si>
    <t xml:space="preserve">Excentricidad accidental ea [% de la dimensión]</t>
  </si>
  <si>
    <t xml:space="preserve">Dimensión en planta según X: Lx [m]</t>
  </si>
  <si>
    <t xml:space="preserve">Dimensión en planta según Y: Ly [m]</t>
  </si>
  <si>
    <t xml:space="preserve">Ejes: X horizontal y Y vertical en el plano. Elementos 'X' resisten fuerzas en dirección X (muros paralelos al eje X, posición = coordenada y); elementos 'Y' resisten fuerzas en Y (posición = coordenada x).</t>
  </si>
  <si>
    <t xml:space="preserve">2. Centro de masa (áreas o pesos tributarios)</t>
  </si>
  <si>
    <t xml:space="preserve">Descripción</t>
  </si>
  <si>
    <t xml:space="preserve">Área o peso</t>
  </si>
  <si>
    <t xml:space="preserve">x [m]</t>
  </si>
  <si>
    <t xml:space="preserve">y [m]</t>
  </si>
  <si>
    <t xml:space="preserve">Cuerpo principal</t>
  </si>
  <si>
    <t xml:space="preserve">Galería / alero</t>
  </si>
  <si>
    <t xml:space="preserve">Centro de masa  XcM [m]</t>
  </si>
  <si>
    <t xml:space="preserve">Centro de masa  YcM [m]</t>
  </si>
  <si>
    <t xml:space="preserve">3. Elementos resistentes y rigidez  R = 1 / ( h³/(3·E·Ie) + 1,2·h/(G·Ae) )   (voladizo con deformación por corte; Ie = 0,4·Ig y Ae = 0,6·Ag)</t>
  </si>
  <si>
    <t xml:space="preserve">Elemento</t>
  </si>
  <si>
    <t xml:space="preserve">Dir. (X / Y)</t>
  </si>
  <si>
    <t xml:space="preserve">Tipo</t>
  </si>
  <si>
    <t xml:space="preserve">Espesor e [m]</t>
  </si>
  <si>
    <t xml:space="preserve">Longitud L [m]</t>
  </si>
  <si>
    <t xml:space="preserve">Altura h [m]</t>
  </si>
  <si>
    <t xml:space="preserve">Posición [m]</t>
  </si>
  <si>
    <t xml:space="preserve">R manual [kN/m]</t>
  </si>
  <si>
    <t xml:space="preserve">E [kN/m²]</t>
  </si>
  <si>
    <t xml:space="preserve">G [kN/m²]</t>
  </si>
  <si>
    <t xml:space="preserve">Ae [m²]</t>
  </si>
  <si>
    <t xml:space="preserve">Ie [m⁴]</t>
  </si>
  <si>
    <t xml:space="preserve">R [kN/m]</t>
  </si>
  <si>
    <t xml:space="preserve">Rx [kN/m]</t>
  </si>
  <si>
    <t xml:space="preserve">Ry [kN/m]</t>
  </si>
  <si>
    <t xml:space="preserve">Rx·y</t>
  </si>
  <si>
    <t xml:space="preserve">Ry·x</t>
  </si>
  <si>
    <t xml:space="preserve">MX1</t>
  </si>
  <si>
    <t xml:space="preserve">X</t>
  </si>
  <si>
    <t xml:space="preserve">Muro de mampostería</t>
  </si>
  <si>
    <t xml:space="preserve">MX2</t>
  </si>
  <si>
    <t xml:space="preserve">MX3</t>
  </si>
  <si>
    <t xml:space="preserve">MY1</t>
  </si>
  <si>
    <t xml:space="preserve">Y</t>
  </si>
  <si>
    <t xml:space="preserve">MY2</t>
  </si>
  <si>
    <t xml:space="preserve">MY3</t>
  </si>
  <si>
    <t xml:space="preserve">4. Centro de rigidez y excentricidades</t>
  </si>
  <si>
    <t xml:space="preserve">ΣRx [kN/m]</t>
  </si>
  <si>
    <t xml:space="preserve">ΣRy [kN/m]</t>
  </si>
  <si>
    <t xml:space="preserve">Centro de rigidez  YcR [m]</t>
  </si>
  <si>
    <t xml:space="preserve">Centro de rigidez  XcR [m]</t>
  </si>
  <si>
    <t xml:space="preserve">Excentricidad estática  ex = XcM − XcR [m]</t>
  </si>
  <si>
    <t xml:space="preserve">Excentricidad estática  ey = YcM − YcR [m]</t>
  </si>
  <si>
    <t xml:space="preserve">Excentricidad accidental  eax = ea·Lx [m]</t>
  </si>
  <si>
    <t xml:space="preserve">Excentricidad accidental  eay = ea·Ly [m]</t>
  </si>
  <si>
    <t xml:space="preserve">ex1 = ex + eax   (fuerza en Y, caso 1)</t>
  </si>
  <si>
    <t xml:space="preserve">ex2 = ex − eax   (fuerza en Y, caso 2)</t>
  </si>
  <si>
    <t xml:space="preserve">ey1 = ey + eay   (fuerza en X, caso 1)</t>
  </si>
  <si>
    <t xml:space="preserve">ey2 = ey − eay   (fuerza en X, caso 2)</t>
  </si>
  <si>
    <t xml:space="preserve">5. Distribución del corte en los elementos (directo + torsión). V total = V directo + máx(0; Ft caso 1; Ft caso 2)</t>
  </si>
  <si>
    <t xml:space="preserve">Dir.</t>
  </si>
  <si>
    <t xml:space="preserve">Distancia al CR [m]</t>
  </si>
  <si>
    <t xml:space="preserve">R·d² [kN·m²]</t>
  </si>
  <si>
    <t xml:space="preserve">V directo [kN]</t>
  </si>
  <si>
    <t xml:space="preserve">Ft caso 1 [kN]</t>
  </si>
  <si>
    <t xml:space="preserve">Ft caso 2 [kN]</t>
  </si>
  <si>
    <t xml:space="preserve">V total de diseño [kN]</t>
  </si>
  <si>
    <t xml:space="preserve">Verificación: ΣV directo en X = F</t>
  </si>
  <si>
    <t xml:space="preserve">Verificación: ΣV directo en Y = F</t>
  </si>
  <si>
    <t xml:space="preserve">Ft = F·e·R·d / Σ(R·d²): torsión alrededor del centro de rigidez; el signo se resuelve con los dos casos de excentricidad (e + ea y e − ea) y solo se suma el efecto desfavorable. La planilla original tomaba un único caso y, en la dirección Y, mezclaba columnas de distintos casos. Rigidez: la planilla original sumaba los términos de flexión y de corte en lugar de sumar las flexibilidades, usaba G = 0,4·E para mampostería (el reglamento indica 0,20·Em) y buscaba E con búsqueda aproximada (devolvía el módulo de la mampostería para los pórticos).</t>
  </si>
  <si>
    <t xml:space="preserve">MUROS RESISTENTES: MAMPOSTERÍA (INPRES-CIRSOC 103 Parte III) Y TABIQUES DE H°A° (CIRSOC 201 §11.10)</t>
  </si>
  <si>
    <t xml:space="preserve">Verifica al corte los elementos definidos en la hoja Sismo 2, con el corte V total (directo + torsión). Las tablas se llenan solas según el tipo de cada elemento; solo hay que cargar las celdas amarillas.</t>
  </si>
  <si>
    <t xml:space="preserve">1. Muros de mampostería – resistencia al corte (Parte III, Art. 4.4):  Vn = (f'v + 0,40·fo)·Ag ≤ 2,0·f'v·Ag ;  φ = 0,80</t>
  </si>
  <si>
    <t xml:space="preserve">Ag = e·L [m²]</t>
  </si>
  <si>
    <t xml:space="preserve">Carga vertical permanente D sobre el muro [kN]</t>
  </si>
  <si>
    <t xml:space="preserve">N mín. = D·(1 − Ev/D) [kN]</t>
  </si>
  <si>
    <t xml:space="preserve">fo [MPa]</t>
  </si>
  <si>
    <t xml:space="preserve">Vn [kN]</t>
  </si>
  <si>
    <t xml:space="preserve">φ·Vn [kN]</t>
  </si>
  <si>
    <t xml:space="preserve">Vu / φVn</t>
  </si>
  <si>
    <t xml:space="preserve">f'v se toma de la hoja Datos (tipo de mampuesto y mortero). fo = tensión media de compresión mínima (combinación 0,9·D − E: se descuenta la componente vertical del sismo). La planilla original: (a) dividía por 9,8 en lugar de multiplicar por 9,81 al pasar t a kN, (b) dividía dos veces por 1000 la suma de resistencias, (c) no aplicaba φ y (d) tomaba el período de la hoja equivocada. Los encadenados (columnas y vigas de encadenado, Art. 4.5) deben dimensionarse aparte con Vup, Ho y Lo del reglamento.</t>
  </si>
  <si>
    <t xml:space="preserve">2. Tabiques de hormigón armado – corte (CIRSOC 201 §11.10):  Vc = ¼·√f'c·e·d + Nu·d/(4·L) ;  Vs = ρt·fyt·e·d ;  φ = 0,75</t>
  </si>
  <si>
    <t xml:space="preserve">d = 0,8·L [m]</t>
  </si>
  <si>
    <t xml:space="preserve">Nu mín. [kN]</t>
  </si>
  <si>
    <t xml:space="preserve">Vc [kN]</t>
  </si>
  <si>
    <t xml:space="preserve">φ barra horiz. [mm]</t>
  </si>
  <si>
    <t xml:space="preserve">Sep. [cm]</t>
  </si>
  <si>
    <t xml:space="preserve">Cortinas</t>
  </si>
  <si>
    <t xml:space="preserve">ρt</t>
  </si>
  <si>
    <t xml:space="preserve">Vs [kN]</t>
  </si>
  <si>
    <t xml:space="preserve">Vn,máx [kN]</t>
  </si>
  <si>
    <t xml:space="preserve">ρt ≥ 0,0025</t>
  </si>
  <si>
    <t xml:space="preserve">Cargar φ y separación de las barras horizontales (y cantidad de cortinas: 1 o 2) para verificar. Esta verificación es la de CIRSOC 201 para tabiques con cargas gravitatorias; los tabiques sismorresistentes de INPRES-CIRSOC 103 Parte II (ductilidad, elementos de borde, longitudes de empalme) requieren verificaciones adicionales que no están en esta hoja.</t>
  </si>
  <si>
    <t xml:space="preserve">COLUMNAS EN VOLADIZO (VUELCO SÍSMICO) Y ELEMENTOS NO ESTRUCTURALES</t>
  </si>
  <si>
    <t xml:space="preserve">Columnas que soportan tanques, marquesinas o cargas en altura sin arriostramiento (sistema 6 de la Tabla 5.1, R = 2,5) y fuerzas sísmicas sobre componentes (Cap. 10). Usa el espectro de la hoja Sismo 1.</t>
  </si>
  <si>
    <t xml:space="preserve">1. Columnas en voladizo – flexión en la base</t>
  </si>
  <si>
    <t xml:space="preserve">R (voladizo)</t>
  </si>
  <si>
    <t xml:space="preserve">C = 2,5·Ca·γr/R</t>
  </si>
  <si>
    <t xml:space="preserve">Altura H [m]</t>
  </si>
  <si>
    <t xml:space="preserve">Peso en el extremo Q1 [kN]</t>
  </si>
  <si>
    <t xml:space="preserve">Peso propio q2 [kN/m]</t>
  </si>
  <si>
    <t xml:space="preserve">Fs1 = C·Q1 [kN]</t>
  </si>
  <si>
    <t xml:space="preserve">Fs2 = C·q2·H [kN]</t>
  </si>
  <si>
    <t xml:space="preserve">Mu base [kNm]</t>
  </si>
  <si>
    <t xml:space="preserve">N° barras traccionadas</t>
  </si>
  <si>
    <t xml:space="preserve">CV1</t>
  </si>
  <si>
    <t xml:space="preserve">Mu = Fs1·H + Fs2·H/2 (acción sísmica E con factor 1,0). Capacidad: φMn = 0,9·As·fy·(d − a/2) con las barras de la cara traccionada y sin ayuda de la compresión axial (del lado seguro). La planilla original calculaba Mc = As·fy·d sin φ ni brazo de palanca (sobreestimaba la capacidad ≈ 25%) y convertía kgf·m a kN·m dividiendo por 100 en lugar de 101,97.</t>
  </si>
  <si>
    <t xml:space="preserve">2. Fuerza sísmica sobre componentes no estructurales y equipos (tanques, parapetos, etc.)</t>
  </si>
  <si>
    <t xml:space="preserve">Componente</t>
  </si>
  <si>
    <t xml:space="preserve">Peso Wp [kN]</t>
  </si>
  <si>
    <t xml:space="preserve">Altura z [m]</t>
  </si>
  <si>
    <t xml:space="preserve">Altura del edificio H [m]</t>
  </si>
  <si>
    <t xml:space="preserve">ap</t>
  </si>
  <si>
    <t xml:space="preserve">Rp</t>
  </si>
  <si>
    <t xml:space="preserve">Ip</t>
  </si>
  <si>
    <t xml:space="preserve">fhk = 1 + 2·z/H</t>
  </si>
  <si>
    <t xml:space="preserve">Cp = Ip·Ca·ap·fhk/Rp</t>
  </si>
  <si>
    <t xml:space="preserve">Fp = Cp·Wp [kN]</t>
  </si>
  <si>
    <t xml:space="preserve">Tanque de agua</t>
  </si>
  <si>
    <t xml:space="preserve">Fórmula de la planilla original (INPRES-CIRSOC 103 Parte I, Cap. 10). Tomar ap y Rp de las Tablas 10.1/10.2 según el componente (los valores cargados son de ejemplo) y verificar los límites mínimo y máximo de Cp indicados en el reglamento.</t>
  </si>
  <si>
    <t xml:space="preserve">FUNDACIONES: CIMIENTOS CORRIDOS Y BASES AISLADAS</t>
  </si>
  <si>
    <t xml:space="preserve">Cimientos de mampostería/hormigón ciclópeo bajo muros y bases de hormigón armado bajo columnas (CIRSOC 201 cap. 15). Tensión admisible del suelo y profundidad: hoja Datos.</t>
  </si>
  <si>
    <t xml:space="preserve">1. Cimientos corridos bajo muros (cargas de servicio por metro de muro)</t>
  </si>
  <si>
    <t xml:space="preserve">Muro</t>
  </si>
  <si>
    <t xml:space="preserve">q1 losa lado 1 [kN/m²]</t>
  </si>
  <si>
    <t xml:space="preserve">Luz L1 [m]</t>
  </si>
  <si>
    <t xml:space="preserve">q2 losa lado 2 [kN/m²]</t>
  </si>
  <si>
    <t xml:space="preserve">Luz L2 [m]</t>
  </si>
  <si>
    <t xml:space="preserve">Espesor del muro e [m]</t>
  </si>
  <si>
    <t xml:space="preserve">Altura del muro h [m]</t>
  </si>
  <si>
    <t xml:space="preserve">N de servicio [kN/m]</t>
  </si>
  <si>
    <t xml:space="preserve">Ancho necesario [cm]</t>
  </si>
  <si>
    <t xml:space="preserve">Ancho adoptado [cm]</t>
  </si>
  <si>
    <t xml:space="preserve">Altura del cimiento [cm]</t>
  </si>
  <si>
    <t xml:space="preserve">σ real [kPa]</t>
  </si>
  <si>
    <t xml:space="preserve">Ángulo de rigidez α [°]</t>
  </si>
  <si>
    <t xml:space="preserve">M-ext</t>
  </si>
  <si>
    <t xml:space="preserve">M-int</t>
  </si>
  <si>
    <t xml:space="preserve">N = reacciones de losas a ambos lados (q·L/2 de cada una) + peso del muro (γ mampostería de la hoja Datos). Ancho necesario = 1,25·N/σadm (se estima el peso del cimiento en 25% de N, como la planilla original) y no menor que e + 15 cm. σ real incluye el peso del cimiento (γ H° ciclópeo de Datos). El ángulo α = atan(altura / vuelo) ≥ 60° asegura el cimiento rígido sin armadura (criterio de la planilla original).</t>
  </si>
  <si>
    <t xml:space="preserve">2A. Bases aisladas cuadradas – dimensionamiento por tensión del suelo (cargas de servicio)</t>
  </si>
  <si>
    <t xml:space="preserve">Base</t>
  </si>
  <si>
    <t xml:space="preserve">Columna bc [cm]</t>
  </si>
  <si>
    <t xml:space="preserve">Columna hc [cm]</t>
  </si>
  <si>
    <t xml:space="preserve">Pu de la columna [kN]</t>
  </si>
  <si>
    <t xml:space="preserve">P de servicio [kN]</t>
  </si>
  <si>
    <t xml:space="preserve">Lado necesario B [cm]</t>
  </si>
  <si>
    <t xml:space="preserve">Lado adoptado B [cm]</t>
  </si>
  <si>
    <t xml:space="preserve">Altura h [cm]</t>
  </si>
  <si>
    <t xml:space="preserve">Peso de la base [kN]</t>
  </si>
  <si>
    <t xml:space="preserve">Peso del suelo [kN]</t>
  </si>
  <si>
    <t xml:space="preserve">σ adm. [kPa]</t>
  </si>
  <si>
    <t xml:space="preserve">Z1</t>
  </si>
  <si>
    <t xml:space="preserve">Z2</t>
  </si>
  <si>
    <t xml:space="preserve">P de servicio = Pu/1,4 como aproximación (reemplazar por la carga de servicio real si se conoce). Lado necesario = √(1,2·P/σadm) (peso de base y suelo ≈ 20% de P). El peso del suelo usa la profundidad de fundación Df de la hoja Datos. Pu viene de la hoja Columnas (letra verde).</t>
  </si>
  <si>
    <t xml:space="preserve">2B. Bases – flexión (CIRSOC 201 cap. 15 y 10), con presión neta mayorada qu = Pu/B²</t>
  </si>
  <si>
    <t xml:space="preserve">qu neta [kPa]</t>
  </si>
  <si>
    <t xml:space="preserve">Vuelo v [m]</t>
  </si>
  <si>
    <t xml:space="preserve">As adoptado [cm²]</t>
  </si>
  <si>
    <t xml:space="preserve">Sección crítica de flexión en la cara de la columna; momento calculado con el mayor vuelo (lado menor de la columna). d = h − recubrimiento − 1,5·φ (armadura en dos direcciones). As mín. = retracción y temperatura 0,0018·B·h (§10.5.4). La planilla original no verificaba corte ni punzonado y tenía una referencia rota en el cálculo de la altura de la base.</t>
  </si>
  <si>
    <t xml:space="preserve">2C. Bases – corte y punzonado (CIRSOC 201 §11.12)</t>
  </si>
  <si>
    <t xml:space="preserve">Vu viga [kN]</t>
  </si>
  <si>
    <t xml:space="preserve">φVc viga [kN]</t>
  </si>
  <si>
    <t xml:space="preserve">Corte 1 dir.</t>
  </si>
  <si>
    <t xml:space="preserve">bo [mm]</t>
  </si>
  <si>
    <t xml:space="preserve">Vu punz. [kN]</t>
  </si>
  <si>
    <t xml:space="preserve">φVc punz. [kN]</t>
  </si>
  <si>
    <t xml:space="preserve">Punzonado</t>
  </si>
  <si>
    <t xml:space="preserve">Punzonado: Vc = menor de (1/3)·√f'c·bo·d ; (1/6)·(1 + 2/βc)·√f'c·bo·d ; (1/12)·(αs·d/bo + 2)·√f'c·bo·d, con αs = 40 (columna interior), φ = 0,75. Vu punz. = Pu − qu·(bc + d)·(hc + d).</t>
  </si>
  <si>
    <t xml:space="preserve">TABLAS DE REFERENCIA</t>
  </si>
  <si>
    <t xml:space="preserve">Datos de consulta usados por las demás hojas (no se editan, salvo para agregar materiales). Fuentes: CIRSOC 101-2005 (Tablas 3.1 y 4.1), CIRSOC 201-2005, INPRES-CIRSOC 103 Parte III (2018), catálogos.</t>
  </si>
  <si>
    <t xml:space="preserve">CIRSOC 101 – Tabla 3.1 Pesos unitarios</t>
  </si>
  <si>
    <t xml:space="preserve">CIRSOC 101 – Tabla 4.1 Sobrecargas</t>
  </si>
  <si>
    <t xml:space="preserve">Barras de acero</t>
  </si>
  <si>
    <t xml:space="preserve">Madera – pino laminado (sección y peso)</t>
  </si>
  <si>
    <t xml:space="preserve">Perfiles y chapa plegada (peso por metro)</t>
  </si>
  <si>
    <t xml:space="preserve">N°</t>
  </si>
  <si>
    <t xml:space="preserve">Peso unitario [kN/m²]</t>
  </si>
  <si>
    <t xml:space="preserve">Peso unitario [kN/m³]</t>
  </si>
  <si>
    <t xml:space="preserve">Grupo</t>
  </si>
  <si>
    <t xml:space="preserve">Destino</t>
  </si>
  <si>
    <t xml:space="preserve">Uniforme [kN/m²]</t>
  </si>
  <si>
    <t xml:space="preserve">Concentrada [kN]</t>
  </si>
  <si>
    <t xml:space="preserve">φ [mm]</t>
  </si>
  <si>
    <t xml:space="preserve">Área [cm²]</t>
  </si>
  <si>
    <t xml:space="preserve">Peso [kg/m]</t>
  </si>
  <si>
    <t xml:space="preserve">Peso [kN/m]</t>
  </si>
  <si>
    <t xml:space="preserve">Perfil</t>
  </si>
  <si>
    <t xml:space="preserve">Cielorraso de placas superlivianas, tipo poliestireno expandido, espuma flexible de poliuretano, incluida estructura de sostén, 50 mm de espesor</t>
  </si>
  <si>
    <t xml:space="preserve">Archivos</t>
  </si>
  <si>
    <t xml:space="preserve">Pino Laminado 2" x 4,5" (4,2 x 11,1 cm)</t>
  </si>
  <si>
    <t xml:space="preserve">I.P.N. 80</t>
  </si>
  <si>
    <t xml:space="preserve">Cielorraso suspendido de placa acústica de fibra mineral incluida estructura de sostén</t>
  </si>
  <si>
    <t xml:space="preserve">Azoteas y terrazas donde pueden congregarse personas.</t>
  </si>
  <si>
    <t xml:space="preserve">Pino Laminado 2" x 5,25" (4,2 x 12,9 cm)</t>
  </si>
  <si>
    <t xml:space="preserve">I.P.N. 100</t>
  </si>
  <si>
    <t xml:space="preserve">Cielorraso de listones de acero, incluida estructura sostén</t>
  </si>
  <si>
    <t xml:space="preserve">Azoteas y terrazas accesibles privadamente</t>
  </si>
  <si>
    <t xml:space="preserve">Pino Laminado 2" x 6" (4,2 x 14,8 cm)</t>
  </si>
  <si>
    <t xml:space="preserve">I.P.N. 120</t>
  </si>
  <si>
    <t xml:space="preserve">Cielorraso de placas huecas de policloruro de vinilo rígido, incluida estructura de sostén</t>
  </si>
  <si>
    <t xml:space="preserve">Pino Laminado 2" x 6,75" (4,2 x 16,6 cm)</t>
  </si>
  <si>
    <t xml:space="preserve">I.P.N. 140</t>
  </si>
  <si>
    <t xml:space="preserve">Cielorraso termo - acústico con elementos modulares de fibra de madera montados sobre elementos metálicos o enlistonado de madera, incluidos éstos</t>
  </si>
  <si>
    <t xml:space="preserve">Casas de 1 y 2 familias, no excediendo 10 m2</t>
  </si>
  <si>
    <t xml:space="preserve">Pino Laminado 2" x 7,5" (4,2 x 18,5 cm)</t>
  </si>
  <si>
    <t xml:space="preserve">I.P.N. 160</t>
  </si>
  <si>
    <t xml:space="preserve">Cielorraso de plaquetas de yeso, montadas sobre armadura de aluminio</t>
  </si>
  <si>
    <t xml:space="preserve">Balcones viviendas en general</t>
  </si>
  <si>
    <t xml:space="preserve">Pino Laminado 2" x 8,25" (4,2 x 20,3 cm)</t>
  </si>
  <si>
    <t xml:space="preserve">I.P.N. 180</t>
  </si>
  <si>
    <t xml:space="preserve">Mezcla de cemento, cal, arena, con material desplegado</t>
  </si>
  <si>
    <t xml:space="preserve">Balcones de casas de 1 y 2 familias, no excediendo 10 m²</t>
  </si>
  <si>
    <t xml:space="preserve">Pino Laminado 2" x 9" (4,2 x 22,2 cm)</t>
  </si>
  <si>
    <t xml:space="preserve">I.P.N. 200</t>
  </si>
  <si>
    <t xml:space="preserve">Baños viviendas</t>
  </si>
  <si>
    <t xml:space="preserve">Pino Laminado 2" x 9,75" (4,2 x 24 cm)</t>
  </si>
  <si>
    <t xml:space="preserve">I.P.N. 220</t>
  </si>
  <si>
    <t xml:space="preserve">Chapa ondulada de fibra orgánica, sin estructura sostén</t>
  </si>
  <si>
    <t xml:space="preserve">Cubiertas</t>
  </si>
  <si>
    <t xml:space="preserve">Baños de otros destinos</t>
  </si>
  <si>
    <t xml:space="preserve">Pino Laminado 2" x 10,5" (4,2 x 25,9 cm)</t>
  </si>
  <si>
    <t xml:space="preserve">I.P.N. 240</t>
  </si>
  <si>
    <t xml:space="preserve">Chapa acanalada de sección ondulada o trapezoidal de aluminio sin estructura de sostén 0,6 mm de espesor (onda chica)</t>
  </si>
  <si>
    <t xml:space="preserve">Bibliotecas: salas de lectura</t>
  </si>
  <si>
    <t xml:space="preserve">Pino Laminado 2" x 11,25" (4,2 x 27,7 cm)</t>
  </si>
  <si>
    <t xml:space="preserve">I.P.N. 260</t>
  </si>
  <si>
    <t xml:space="preserve">Chapa acanalada de sección ondulada o trapezoidal de aluminio sin estructura de sostén 0,8 mm de espesor (onda grande)</t>
  </si>
  <si>
    <t xml:space="preserve">Bibliotecas: salas de almacenamiento de libros</t>
  </si>
  <si>
    <t xml:space="preserve">Pino Laminado 2" x 12" (4,2 x 29,6 cm)</t>
  </si>
  <si>
    <t xml:space="preserve">I.P.N. 280</t>
  </si>
  <si>
    <t xml:space="preserve">Chapa acanalada de sección ondulada o trapezoidal de aluminio sin estructura de sostén 1,0 mm de espesor (onda grande)</t>
  </si>
  <si>
    <t xml:space="preserve">Bibliotecas: corredores en pisos superiores a planta baja</t>
  </si>
  <si>
    <t xml:space="preserve">Pino Laminado 2" x 12,75" (4,2 x 31,4 cm)</t>
  </si>
  <si>
    <t xml:space="preserve">I.P.N. 300</t>
  </si>
  <si>
    <t xml:space="preserve">Chapa acanalada de perfil ondulado o trapezoidal de acero zincado o aluminizado 0,4 mm de espesor</t>
  </si>
  <si>
    <t xml:space="preserve">Bibliotecas: corredores en planta baja</t>
  </si>
  <si>
    <t xml:space="preserve">Hormigón y acero (CIRSOC 201-2005)</t>
  </si>
  <si>
    <t xml:space="preserve">Pino Laminado 2" x 13,5" (4,2 x 33,3 cm)</t>
  </si>
  <si>
    <t xml:space="preserve">I.P.N. 320</t>
  </si>
  <si>
    <t xml:space="preserve">Chapa acanalada de perfil ondulado o trapezoidal de acero zincado o aluminizado 0,7 mm de espesor</t>
  </si>
  <si>
    <t xml:space="preserve">Bowling, billar y áreas recreacionales similares</t>
  </si>
  <si>
    <t xml:space="preserve">Clase</t>
  </si>
  <si>
    <t xml:space="preserve">f'c [MPa]</t>
  </si>
  <si>
    <t xml:space="preserve">Pino Laminado 2" x 14,25" (4,2 x 35,1 cm)</t>
  </si>
  <si>
    <t xml:space="preserve">I.P.N. 340</t>
  </si>
  <si>
    <t xml:space="preserve">Chapa acanalada de perfil ondulado o trapezoidal de acero zincado o aluminizado 1,0 mm de espesor</t>
  </si>
  <si>
    <t xml:space="preserve">Cielorrasos con posibilidad de almacenamiento: áreas de almacenamiento liviano</t>
  </si>
  <si>
    <t xml:space="preserve">H-17</t>
  </si>
  <si>
    <t xml:space="preserve">Pino Laminado 2" x 15" (4,2 x 37 cm)</t>
  </si>
  <si>
    <t xml:space="preserve">I.P.N. 360</t>
  </si>
  <si>
    <t xml:space="preserve">Chapa de cobre de 0,6 mm de espesor, sobre entablonado, incluido éste</t>
  </si>
  <si>
    <t xml:space="preserve">Cielorrasos con posibilidad de almacenamiento: áreas de almacenamiento ocasional</t>
  </si>
  <si>
    <t xml:space="preserve">H-20</t>
  </si>
  <si>
    <t xml:space="preserve">Pino Laminado 2,5" x 4,5" (5,5 x 11,1 cm)</t>
  </si>
  <si>
    <t xml:space="preserve">I.P.N. 380</t>
  </si>
  <si>
    <t xml:space="preserve">Chapa de zinc de 0,7mm de espesor, sobre entablonado, incluido éste</t>
  </si>
  <si>
    <t xml:space="preserve">Cocinas de viviendas</t>
  </si>
  <si>
    <t xml:space="preserve">Pino Laminado 2,5" x 5,25" (5,5 x 12,9 cm)</t>
  </si>
  <si>
    <t xml:space="preserve">I.P.N. 400</t>
  </si>
  <si>
    <t xml:space="preserve">Chapa de plástico reforzado, espesor 1,5 mm sobre enlistonado incluido éste</t>
  </si>
  <si>
    <t xml:space="preserve">Cocinas de otros destinos</t>
  </si>
  <si>
    <t xml:space="preserve">H-30</t>
  </si>
  <si>
    <t xml:space="preserve">Pino Laminado 2,5" x 6" (5,5 x 14,8 cm)</t>
  </si>
  <si>
    <t xml:space="preserve">I.P.N. 425</t>
  </si>
  <si>
    <t xml:space="preserve">Comedores, restaurantes y confiterías</t>
  </si>
  <si>
    <t xml:space="preserve">H-35</t>
  </si>
  <si>
    <t xml:space="preserve">Pino Laminado 2,5" x 6,75" (5,5 x 16,5 cm)</t>
  </si>
  <si>
    <t xml:space="preserve">I.P.N. 450</t>
  </si>
  <si>
    <t xml:space="preserve">Doble chapa de aluminio con núcleo de poliestireno expandido</t>
  </si>
  <si>
    <t xml:space="preserve">Corredores (Circulación): planta baja</t>
  </si>
  <si>
    <t xml:space="preserve">H-40</t>
  </si>
  <si>
    <t xml:space="preserve">Pino Laminado 2,5" x 7,5" (5,5 x 18,5 cm)</t>
  </si>
  <si>
    <t xml:space="preserve">I.P.N. 475</t>
  </si>
  <si>
    <t xml:space="preserve">Teja asfáltica sobre enlistonado, incluido éste</t>
  </si>
  <si>
    <t xml:space="preserve">Corredores (Circulación): otros pisos, lo mismo que el destino al que sirve, excepto otra indicación en esta Tabla</t>
  </si>
  <si>
    <t xml:space="preserve">Pino Laminado 2,5" x 8,25" (5,5 x 20,3 cm)</t>
  </si>
  <si>
    <t xml:space="preserve">I.P.N. 500</t>
  </si>
  <si>
    <t xml:space="preserve">Teja cerámica tipo español, colonial o árabe, sobre entablonado incluido éste</t>
  </si>
  <si>
    <t xml:space="preserve">Cuartos de máquinas y calderas</t>
  </si>
  <si>
    <t xml:space="preserve">Acero</t>
  </si>
  <si>
    <t xml:space="preserve">fy [MPa]</t>
  </si>
  <si>
    <t xml:space="preserve">Pino Laminado 2,5" x 9" (5,5 x 22,2 cm)</t>
  </si>
  <si>
    <t xml:space="preserve">I.P.N. 550</t>
  </si>
  <si>
    <t xml:space="preserve">Teja cerámica tipo de Marsella o francés, sobre entablonado, incluido éste</t>
  </si>
  <si>
    <t xml:space="preserve">Comercio (Negocios) venta al menudeo: planta baja</t>
  </si>
  <si>
    <t xml:space="preserve">Pino Laminado 2,5" x 9,75" (5,5 x 24 cm)</t>
  </si>
  <si>
    <t xml:space="preserve">I.P.N. 600</t>
  </si>
  <si>
    <t xml:space="preserve">Teja cerámica tipo flamenco, sobre entablonado, incluido éste</t>
  </si>
  <si>
    <t xml:space="preserve">Comercio (Negocios) venta al menudeo: pisos superiores</t>
  </si>
  <si>
    <t xml:space="preserve">ADN 420 S</t>
  </si>
  <si>
    <t xml:space="preserve">Pino Laminado 2,5" x 10,5" (5,5 x 25,9 cm)</t>
  </si>
  <si>
    <t xml:space="preserve">Perfil ángulo 1” x 1/8”</t>
  </si>
  <si>
    <t xml:space="preserve">Teja cerámica tipo normando, sobre entablonado, incluido éste</t>
  </si>
  <si>
    <t xml:space="preserve">Comercio al por mayor, todos los pisos</t>
  </si>
  <si>
    <t xml:space="preserve">AL 220</t>
  </si>
  <si>
    <t xml:space="preserve">Pino Laminado 2,5" x 11,25" (5,5 x 27,7 cm)</t>
  </si>
  <si>
    <t xml:space="preserve">Perfil ángulo 1” x 3/16”</t>
  </si>
  <si>
    <t xml:space="preserve">Teja de mortero de cemento, tipo romano, sobre enlistonado, incluido éste</t>
  </si>
  <si>
    <t xml:space="preserve">Depósitos (serán diseñados para cargas más pesadas si el almacenamiento previsto lo requiere): liviano</t>
  </si>
  <si>
    <t xml:space="preserve">Pino Laminado 2,5" x 12" (5,5 x 29,6 cm)</t>
  </si>
  <si>
    <t xml:space="preserve">Perfil ángulo 1 1/4” x 1/8”</t>
  </si>
  <si>
    <t xml:space="preserve">Teja de pizarra natural, sobre entablonado, incluido éste</t>
  </si>
  <si>
    <t xml:space="preserve">Escuelas: aulas</t>
  </si>
  <si>
    <t xml:space="preserve">Pino Laminado 2,5" x 12,75" (5,5 x 31,4 cm)</t>
  </si>
  <si>
    <t xml:space="preserve">Perfil ángulo 1 1/4” x 3/16”</t>
  </si>
  <si>
    <t xml:space="preserve">Teja de pizarra artificial, sobre entablonado, incluido éste</t>
  </si>
  <si>
    <t xml:space="preserve">Escuelas: corredores en pisos superiores a planta baja</t>
  </si>
  <si>
    <t xml:space="preserve">Coeficientes aproximados de esfuerzos – CIRSOC 201 §8.3.3 (cargas uniformes, tramos ≈ iguales)</t>
  </si>
  <si>
    <t xml:space="preserve">Pino Laminado 2,5" x 13,5" (5,5 x 33,3 cm)</t>
  </si>
  <si>
    <t xml:space="preserve">Perfil ángulo 1 1/2” x 1/8”</t>
  </si>
  <si>
    <t xml:space="preserve">Teja de vidrio, sin estructura sostén</t>
  </si>
  <si>
    <t xml:space="preserve">Escuelas: corredores en planta baja</t>
  </si>
  <si>
    <t xml:space="preserve">M(+) tramo (×qL²)</t>
  </si>
  <si>
    <t xml:space="preserve">M(−) apoyo (×qL²)</t>
  </si>
  <si>
    <t xml:space="preserve">V (×qL)</t>
  </si>
  <si>
    <t xml:space="preserve">Obs.</t>
  </si>
  <si>
    <t xml:space="preserve">Pino Laminado 2,5" x 14,25" (5,5 x 35,1 cm)</t>
  </si>
  <si>
    <t xml:space="preserve">Perfil ángulo 1 1/2” x 3/16”</t>
  </si>
  <si>
    <t xml:space="preserve">Hormigón de cemento pórtland, arena y canto rodado o piedra partida sin armar</t>
  </si>
  <si>
    <t xml:space="preserve">Hormigones</t>
  </si>
  <si>
    <t xml:space="preserve">Estrados y tribunas</t>
  </si>
  <si>
    <t xml:space="preserve">Pino Laminado 2,5" x 15" (5,5 x 37 cm)</t>
  </si>
  <si>
    <t xml:space="preserve">Perfil ángulo 1 1/2” x 1/4”</t>
  </si>
  <si>
    <t xml:space="preserve">Hormigón de cemento pórtland, arena y canto rodado o piedra partida armado</t>
  </si>
  <si>
    <t xml:space="preserve">Estadios sin asientos fijos (artículo 4.6.2)</t>
  </si>
  <si>
    <t xml:space="preserve">V=1,15·qL/2 en 1er apoyo interior</t>
  </si>
  <si>
    <t xml:space="preserve">Pino Laminado 3" x 4,5" (6,5 x 11,1 cm)</t>
  </si>
  <si>
    <t xml:space="preserve">Perfil ángulo 1 3/4” x 1/8”</t>
  </si>
  <si>
    <t xml:space="preserve">Hormigón de cemento pórtland, arena y agregado basáltico</t>
  </si>
  <si>
    <t xml:space="preserve">Estadios con asientos fijos (ajustados al piso) (artículo 4.6.2)</t>
  </si>
  <si>
    <t xml:space="preserve">Continua 3+ tramos – tramo extremo</t>
  </si>
  <si>
    <t xml:space="preserve">Pino Laminado 3" x 5,25" (6,5 x 12,9 cm)</t>
  </si>
  <si>
    <t xml:space="preserve">Perfil ángulo 1 3/4” x 3/16”</t>
  </si>
  <si>
    <t xml:space="preserve">Hormigón de cemento pórtland, arena y cascote</t>
  </si>
  <si>
    <t xml:space="preserve">Escaleras y caminos de salida: viviendas y hoteles en áreas privadas</t>
  </si>
  <si>
    <t xml:space="preserve">Continua – tramo interior</t>
  </si>
  <si>
    <t xml:space="preserve">Pino Laminado 3" x 6" (6,5 x 14,8 cm)</t>
  </si>
  <si>
    <t xml:space="preserve">Perfil ángulo 2” x 1/8”</t>
  </si>
  <si>
    <t xml:space="preserve">Hormigón de cemento pórtland, arena y mineral de hierro</t>
  </si>
  <si>
    <t xml:space="preserve">Escaleras y caminos de salida: todos los demás destinos</t>
  </si>
  <si>
    <t xml:space="preserve">L = longitud del voladizo</t>
  </si>
  <si>
    <t xml:space="preserve">Pino Laminado 3" x 6,75" (6,5 x 16,5 cm)</t>
  </si>
  <si>
    <t xml:space="preserve">Perfil ángulo 2” x 3/16”</t>
  </si>
  <si>
    <t xml:space="preserve">Hormigón de cemento pórtland, arena y arcilla expandida</t>
  </si>
  <si>
    <t xml:space="preserve">Fábricas de manufactura liviana (artículo 4.13)</t>
  </si>
  <si>
    <t xml:space="preserve">Pino Laminado 3" x 7,5" (6,5 x 18,5 cm)</t>
  </si>
  <si>
    <t xml:space="preserve">Perfil ángulo 2” x 1/4”</t>
  </si>
  <si>
    <t xml:space="preserve">Hormigón de cal, arena y cascote</t>
  </si>
  <si>
    <t xml:space="preserve">Fábricas de manufactura pesada (artículo 4.13)</t>
  </si>
  <si>
    <t xml:space="preserve">Pino Laminado 3" x 8,25" (6,5 x 20,3 cm)</t>
  </si>
  <si>
    <t xml:space="preserve">Perfil ángulo 2 1/4” x 3/16”</t>
  </si>
  <si>
    <t xml:space="preserve">Hormigón con agregado de poliestireno de alta densidad</t>
  </si>
  <si>
    <t xml:space="preserve">Garajes (para automóviles solamente)</t>
  </si>
  <si>
    <t xml:space="preserve">CIRSOC 201 – Tabla 9.5(a) Altura mínima h = L/x (fy = 420 MPa)</t>
  </si>
  <si>
    <t xml:space="preserve">Pino Laminado 3" x 9" (6,5 x 22,2 cm)</t>
  </si>
  <si>
    <t xml:space="preserve">Perfil ángulo 2 1/4” x 1/4”</t>
  </si>
  <si>
    <t xml:space="preserve">Bloque de mortero de cemento celular</t>
  </si>
  <si>
    <t xml:space="preserve">Ladrillos y Bloques</t>
  </si>
  <si>
    <t xml:space="preserve">Gimnasios, áreas principales y balcones</t>
  </si>
  <si>
    <t xml:space="preserve">Ambos extremos continuos</t>
  </si>
  <si>
    <t xml:space="preserve">Pino Laminado 3" x 9,75" (6,5 x 24 cm)</t>
  </si>
  <si>
    <t xml:space="preserve">Perfil ángulo 2 1/2” x 3/16”</t>
  </si>
  <si>
    <t xml:space="preserve">Bloque hueco de hormigón</t>
  </si>
  <si>
    <t xml:space="preserve">Hospitales: salas de operaciones, laboratorios</t>
  </si>
  <si>
    <t xml:space="preserve">Pino Laminado 3" x 10,5" (6,5 x 25,9 cm)</t>
  </si>
  <si>
    <t xml:space="preserve">Perfil ángulo 2 1/2” x 1/4”</t>
  </si>
  <si>
    <t xml:space="preserve">Bloque hueco de hormigón liviano</t>
  </si>
  <si>
    <t xml:space="preserve">Hospitales: habitaciones privadas</t>
  </si>
  <si>
    <t xml:space="preserve">Viga o losa nervurada en una dirección</t>
  </si>
  <si>
    <t xml:space="preserve">Pino Laminado 3" x 11,25" (6,5 x 27,7 cm)</t>
  </si>
  <si>
    <t xml:space="preserve">Perfil ángulo 3” x 1/4”</t>
  </si>
  <si>
    <t xml:space="preserve">Ladrillo hueco cerámico portante, % huecos menor que 60</t>
  </si>
  <si>
    <t xml:space="preserve">Hospitales: salas</t>
  </si>
  <si>
    <t xml:space="preserve">Pino Laminado 3" x 12" (6,5 x 29,6 cm)</t>
  </si>
  <si>
    <t xml:space="preserve">Perfil ángulo 3” x 5/16”</t>
  </si>
  <si>
    <t xml:space="preserve">Ladrillo hueco cerámico no portante, % huecos mayor que 60</t>
  </si>
  <si>
    <t xml:space="preserve">Hospitales: corredores en pisos superiores a planta baja</t>
  </si>
  <si>
    <t xml:space="preserve">Pino Laminado 3" x 12,75" (6,5 x 31,4 cm)</t>
  </si>
  <si>
    <t xml:space="preserve">Perfil ángulo 3” x 3/8”</t>
  </si>
  <si>
    <t xml:space="preserve">Ladrillo cerámico macizo común</t>
  </si>
  <si>
    <t xml:space="preserve">Instituciones carcelarias: celdas</t>
  </si>
  <si>
    <t xml:space="preserve">INPRES-CIRSOC 103 Parte III – Tablas 2.4 (f'm) y 2.5 (f'v) [MPa]</t>
  </si>
  <si>
    <t xml:space="preserve">Pino Laminado 3" x 13,5" (6,5 x 33,3 cm)</t>
  </si>
  <si>
    <t xml:space="preserve">Perfil ángulo 3 1/2” x 1/4”</t>
  </si>
  <si>
    <t xml:space="preserve">Ladrillo de yeso</t>
  </si>
  <si>
    <t xml:space="preserve">Instituciones carcelarias: corredores</t>
  </si>
  <si>
    <t xml:space="preserve">Mampuesto</t>
  </si>
  <si>
    <t xml:space="preserve">E</t>
  </si>
  <si>
    <t xml:space="preserve">I</t>
  </si>
  <si>
    <t xml:space="preserve">NA</t>
  </si>
  <si>
    <t xml:space="preserve">Pino Laminado 3" x 14,25" (6,5 x 35,1 cm)</t>
  </si>
  <si>
    <t xml:space="preserve">Perfil ángulo 3 1/2” x 5/16”</t>
  </si>
  <si>
    <t xml:space="preserve">Ladrillo hueco de vidrio</t>
  </si>
  <si>
    <t xml:space="preserve">Lavaderos: viviendas</t>
  </si>
  <si>
    <t xml:space="preserve">f'm – resistencia a compresión</t>
  </si>
  <si>
    <t xml:space="preserve">Pino Laminado 3" x 15" (6,5 x 37 cm)</t>
  </si>
  <si>
    <t xml:space="preserve">Perfil ángulo 3 1/2” x 3/8”</t>
  </si>
  <si>
    <t xml:space="preserve">Madera Blanda (dureza Janka menor que 30 Mpa (2)) (pino Paraná, pino Spruce, etc)</t>
  </si>
  <si>
    <t xml:space="preserve">Maderas</t>
  </si>
  <si>
    <t xml:space="preserve">Lavaderos: otros destinos</t>
  </si>
  <si>
    <t xml:space="preserve">Pino Laminado 4" x 4,5" (9 x 11,1 cm)</t>
  </si>
  <si>
    <t xml:space="preserve">Perfil ángulo 4” x 5/16”</t>
  </si>
  <si>
    <t xml:space="preserve">Madera Semidura (dureza Janka entre 30 y 45 Mpa) (petiribí, pinotea, etc)</t>
  </si>
  <si>
    <t xml:space="preserve">Marquesinas y estructuras de entrada a edificios</t>
  </si>
  <si>
    <t xml:space="preserve">Bloques huecos portantes cerámicos</t>
  </si>
  <si>
    <t xml:space="preserve">Pino Laminado 4" x 5,25" (9 x 12,9 cm)</t>
  </si>
  <si>
    <t xml:space="preserve">Perfil ángulo 4” x 3/8”</t>
  </si>
  <si>
    <t xml:space="preserve">Madera Dura (dureza Janka entre 45 y 60 MPa) (lapacho, viraró, incienso, etc.)</t>
  </si>
  <si>
    <t xml:space="preserve">Oficinas: (Edificios para Oficinas) salones de entrada y corredores de planta baja</t>
  </si>
  <si>
    <t xml:space="preserve">Bloques huecos portantes de hormigón</t>
  </si>
  <si>
    <t xml:space="preserve">Pino Laminado 4" x 6" (9 x 14,8 cm)</t>
  </si>
  <si>
    <t xml:space="preserve">Perfil ángulo 4” x 1/2”</t>
  </si>
  <si>
    <t xml:space="preserve">Madera Muy dura (dureza Janka mayor que 60 MPa) (quebracho colorado, curupay, etc.)</t>
  </si>
  <si>
    <t xml:space="preserve">Oficinas: (Edificios para Oficinas) oficinas</t>
  </si>
  <si>
    <t xml:space="preserve">Pino Laminado 4" x 6,75" (9 x 16,5 cm)</t>
  </si>
  <si>
    <t xml:space="preserve">U.P.N. 80</t>
  </si>
  <si>
    <t xml:space="preserve">Mampostería con revoque o completa, mortero a la cal o cemento: Bloque hueco de hormigón</t>
  </si>
  <si>
    <t xml:space="preserve">Mampostería</t>
  </si>
  <si>
    <t xml:space="preserve">Oficinas: (Edificios para Oficinas) corredores en pisos superiores a planta baja</t>
  </si>
  <si>
    <t xml:space="preserve">f'v – resistencia al corte</t>
  </si>
  <si>
    <t xml:space="preserve">Pino Laminado 4" x 7,5" (9 x 18,5 cm)</t>
  </si>
  <si>
    <t xml:space="preserve">U.P.N. 100</t>
  </si>
  <si>
    <t xml:space="preserve">Mampostería con revoque o completa, mortero a la cal o cemento: Bloque hueco de hormigón liviano</t>
  </si>
  <si>
    <t xml:space="preserve">Pasarelas y plataformas elevadas (que no corresponden a vías de escape)</t>
  </si>
  <si>
    <t xml:space="preserve">Pino Laminado 4" x 8,25" (9 x 20,3 cm)</t>
  </si>
  <si>
    <t xml:space="preserve">U.P.N. 120</t>
  </si>
  <si>
    <t xml:space="preserve">Mampostería con revoque o completa, mortero a la cal o cemento: Ladrillo cerámico macizo común</t>
  </si>
  <si>
    <t xml:space="preserve">Patios y lugares de paseo</t>
  </si>
  <si>
    <t xml:space="preserve">U.P.N. 140</t>
  </si>
  <si>
    <t xml:space="preserve">Salones de reunión, teatros y cines: asientos fijos, sujetos al piso</t>
  </si>
  <si>
    <t xml:space="preserve">Pino Laminado 4" x 9,75" (9 x 24 cm)</t>
  </si>
  <si>
    <t xml:space="preserve">U.P.N. 160</t>
  </si>
  <si>
    <t xml:space="preserve">Mampostería con revoque o completa, mortero a la cal o cemento: Ladrillo hueco cerámico no portante, % huecos mayor que 60</t>
  </si>
  <si>
    <t xml:space="preserve">Salones de reunión, teatros y cines: salones</t>
  </si>
  <si>
    <t xml:space="preserve">Pino Laminado 4" x 10,5" (9 x 25,9 cm)</t>
  </si>
  <si>
    <t xml:space="preserve">U.P.N. 180</t>
  </si>
  <si>
    <t xml:space="preserve">Mampostería con revoque o completa, mortero a la cal o cemento: Ladrillo refractario</t>
  </si>
  <si>
    <t xml:space="preserve">Salones de reunión, teatros y cines: asientos móviles</t>
  </si>
  <si>
    <t xml:space="preserve">Pino Laminado 4" x 11,25" (9 x 27,7 cm)</t>
  </si>
  <si>
    <t xml:space="preserve">U.P.N. 200</t>
  </si>
  <si>
    <t xml:space="preserve">Mampostería con revoque o completa, mortero a la cal o cemento: Ladrillo de yeso</t>
  </si>
  <si>
    <t xml:space="preserve">Salones de reunión, teatros y cines: plataformas (reunión)</t>
  </si>
  <si>
    <t xml:space="preserve">Viguetas pretensadas – momento admisible por serie (dato del catálogo Prear 90 transcripto de la planilla original)</t>
  </si>
  <si>
    <t xml:space="preserve">Pino Laminado 4" x 12" (9 x 29,6 cm)</t>
  </si>
  <si>
    <t xml:space="preserve">U.P.N. 220</t>
  </si>
  <si>
    <t xml:space="preserve">Mampostería con revoque o completa, mortero a la cal o cemento: Piedra arenisca</t>
  </si>
  <si>
    <t xml:space="preserve">Salones de reunión, teatros y cines: pisos de escenarios</t>
  </si>
  <si>
    <t xml:space="preserve">Pino Laminado 4" x 12,75" (9 x 31,4 cm)</t>
  </si>
  <si>
    <t xml:space="preserve">U.P.N. 240</t>
  </si>
  <si>
    <t xml:space="preserve">Mampostería con revoque o completa, mortero a la cal o cemento: Piedra granítica</t>
  </si>
  <si>
    <t xml:space="preserve">Salones de reunión, teatros y cines: salas de proyección</t>
  </si>
  <si>
    <t xml:space="preserve">Serie 0</t>
  </si>
  <si>
    <t xml:space="preserve">Pino Laminado 4" x 13,5" (9 x 33,3 cm)</t>
  </si>
  <si>
    <t xml:space="preserve">U.P.N. 260</t>
  </si>
  <si>
    <t xml:space="preserve">Mampostería sin revoque, mortero a la cal o cemento: Bloque hueco de hormigón</t>
  </si>
  <si>
    <t xml:space="preserve">Salones de baile y fiesta</t>
  </si>
  <si>
    <t xml:space="preserve">Serie 1a</t>
  </si>
  <si>
    <t xml:space="preserve">Pino Laminado 4" x 14,25" (9 x 35,1 cm)</t>
  </si>
  <si>
    <t xml:space="preserve">U.P.N. 280</t>
  </si>
  <si>
    <t xml:space="preserve">Mampostería sin revoque, mortero a la cal o cemento: Bloque hueco de hormigón liviano</t>
  </si>
  <si>
    <t xml:space="preserve">Salidas de Incendio</t>
  </si>
  <si>
    <t xml:space="preserve">Pino Laminado 4" x 15" (9 x 37 cm)</t>
  </si>
  <si>
    <t xml:space="preserve">U.P.N. 300</t>
  </si>
  <si>
    <t xml:space="preserve">Mampostería sin revoque, mortero a la cal o cemento: Ladrillo cerámico macizo común</t>
  </si>
  <si>
    <t xml:space="preserve">Salidas de Incendio en viviendas unifamiliares unicamente</t>
  </si>
  <si>
    <t xml:space="preserve">Pino Laminado 5" x 5" (11,5 x 10,5 cm)</t>
  </si>
  <si>
    <t xml:space="preserve">U.P.N. 320</t>
  </si>
  <si>
    <t xml:space="preserve">Mampostería sin revoque, mortero a la cal o cemento: Ladrillo hueco cerámico portante, % huecos menor que 60</t>
  </si>
  <si>
    <t xml:space="preserve">Sistemas de piso flotante: uso para oficina</t>
  </si>
  <si>
    <t xml:space="preserve">Serie 4a</t>
  </si>
  <si>
    <t xml:space="preserve">Pino Laminado 5" x 6" (11,5 x 12,6 cm)</t>
  </si>
  <si>
    <t xml:space="preserve">U.P.N. 350</t>
  </si>
  <si>
    <t xml:space="preserve">Mampostería sin revoque, mortero a la cal o cemento: Ladrillo hueco cerámico no portante, % huecos mayor que 60</t>
  </si>
  <si>
    <t xml:space="preserve">Sistemas de piso flotante: uso para computación</t>
  </si>
  <si>
    <t xml:space="preserve">Serie 5a</t>
  </si>
  <si>
    <t xml:space="preserve">Pino Laminado 5" x 7" (11,5 x 14,7 cm)</t>
  </si>
  <si>
    <t xml:space="preserve">U.P.N. 380</t>
  </si>
  <si>
    <t xml:space="preserve">Mortero de cal y arena</t>
  </si>
  <si>
    <t xml:space="preserve">Morteros y Enlucidos</t>
  </si>
  <si>
    <t xml:space="preserve">Templos</t>
  </si>
  <si>
    <t xml:space="preserve">Serie 6a</t>
  </si>
  <si>
    <t xml:space="preserve">Pino Laminado 5" x 8" (11,5 x 16,8 cm)</t>
  </si>
  <si>
    <t xml:space="preserve">U.P.N. 400</t>
  </si>
  <si>
    <t xml:space="preserve">Mortero de cal, arena y polvo de ladrillos</t>
  </si>
  <si>
    <t xml:space="preserve">Usos Residenciales (casa habitación, departamentos): hoteles.</t>
  </si>
  <si>
    <t xml:space="preserve">Serie 7a</t>
  </si>
  <si>
    <t xml:space="preserve">Pino Laminado 5" x 9" (11,5 x 18,9 cm)</t>
  </si>
  <si>
    <t xml:space="preserve">C 80 x 40 x 15 x 1,6</t>
  </si>
  <si>
    <t xml:space="preserve">Usos Residenciales (casa habitación, departamentos): casas multifamiliares</t>
  </si>
  <si>
    <t xml:space="preserve">Serie 8a</t>
  </si>
  <si>
    <t xml:space="preserve">Pino Laminado 5" x 10" (11,5 x 21 cm)</t>
  </si>
  <si>
    <t xml:space="preserve">C 80 x 40 x 15 x 2</t>
  </si>
  <si>
    <t xml:space="preserve">Mortero de cemento pórtland, cal y arena</t>
  </si>
  <si>
    <t xml:space="preserve">Usos Residenciales (casa habitación, departamentos): departamentos habitaciones privadas y corredores que las sirven habitaciones de reunión y corredores que las sirven</t>
  </si>
  <si>
    <t xml:space="preserve">Serie 9a</t>
  </si>
  <si>
    <t xml:space="preserve">Pino Laminado 5" x 11" (11,5 x 23,1 cm)</t>
  </si>
  <si>
    <t xml:space="preserve">C 100 x 50 x 15 x 2</t>
  </si>
  <si>
    <t xml:space="preserve">Mortero de bitumen y arena</t>
  </si>
  <si>
    <t xml:space="preserve">Pino Laminado 5" x 12" (11,5 x 25,2 cm)</t>
  </si>
  <si>
    <t xml:space="preserve">C 120 x 50 x 15 x 2,5</t>
  </si>
  <si>
    <t xml:space="preserve">Enlucido de cal</t>
  </si>
  <si>
    <t xml:space="preserve">Usos Residenciales (casa habitación, departamentos): viviendas para 1 y 2 familias - escaleras</t>
  </si>
  <si>
    <t xml:space="preserve">Pino Laminado 5" x 13" (11,5 x 27,3 cm)</t>
  </si>
  <si>
    <t xml:space="preserve">C 140 x 60 x 20 x 2</t>
  </si>
  <si>
    <t xml:space="preserve">Enlucido de cal y cemento pórtland</t>
  </si>
  <si>
    <t xml:space="preserve">Usos Residenciales (casa habitación, departamentos): hoteles, casas multifamiliares y departamentos - habitaciones privadas y corredores que las sirven</t>
  </si>
  <si>
    <t xml:space="preserve">Pino Laminado 5" x 14" (11,5 x 29,4 cm)</t>
  </si>
  <si>
    <t xml:space="preserve">C 140 x 60 x 20 x 2,5</t>
  </si>
  <si>
    <t xml:space="preserve">Enlucido de cal y puzolana</t>
  </si>
  <si>
    <t xml:space="preserve">Usos Residenciales (casa habitación, departamentos): hoteles, casas multifamiliares y departamentos - habitaciones de reunión y corredores que las sirven</t>
  </si>
  <si>
    <t xml:space="preserve">Pino Laminado 5" x 15" (11,5 x 31,5 cm)</t>
  </si>
  <si>
    <t xml:space="preserve">C 160 x 60 x 20 x 2</t>
  </si>
  <si>
    <t xml:space="preserve">Enlucido de cal y yeso</t>
  </si>
  <si>
    <t xml:space="preserve">Veredas, entradas vehiculares y patios sujetos a entradas de camiones</t>
  </si>
  <si>
    <t xml:space="preserve">Pino Laminado 5" x 16" (11,5 x 33,6 cm)</t>
  </si>
  <si>
    <t xml:space="preserve">C 160 x 60 x 20 x 2,5</t>
  </si>
  <si>
    <t xml:space="preserve">Enlucido de cemento pórtland</t>
  </si>
  <si>
    <t xml:space="preserve">Vestuarios</t>
  </si>
  <si>
    <t xml:space="preserve">Pino Laminado 5" x 17" (11,5 x 35,7 cm)</t>
  </si>
  <si>
    <t xml:space="preserve">C 180 x 70 x 25 x 2</t>
  </si>
  <si>
    <t xml:space="preserve">Enlucido de yeso</t>
  </si>
  <si>
    <t xml:space="preserve">Pino Laminado 5" x 18" (11,5 x 37,8 cm)</t>
  </si>
  <si>
    <t xml:space="preserve">C 180 x 70 x 25 x 2,5</t>
  </si>
  <si>
    <t xml:space="preserve">Adoquín de madera 76 mm, sobre mastic, sin relleno</t>
  </si>
  <si>
    <t xml:space="preserve">Pisos y Contrapisos</t>
  </si>
  <si>
    <t xml:space="preserve">Pino Laminado 5" x 19" (11,5 x 39,9 cm)</t>
  </si>
  <si>
    <t xml:space="preserve">C 180 x 70 x 25 x 3,2</t>
  </si>
  <si>
    <t xml:space="preserve">Adoquín de madera 76 mm, sobre base de mortero de 13mm</t>
  </si>
  <si>
    <t xml:space="preserve">Pino Laminado 6" x 6" (14 x 12,6 cm)</t>
  </si>
  <si>
    <t xml:space="preserve">C 200 x 70 x 25 x 2</t>
  </si>
  <si>
    <t xml:space="preserve">Pino Laminado 6" x 7" (14 x 14,7 cm)</t>
  </si>
  <si>
    <t xml:space="preserve">C 200 x 70 x 25 x 2,5</t>
  </si>
  <si>
    <t xml:space="preserve">Baldosa de gres cerámico, 20 mm de espesor</t>
  </si>
  <si>
    <t xml:space="preserve">Pino Laminado 6" x 8" (14 x 16,8 cm)</t>
  </si>
  <si>
    <t xml:space="preserve">C 200 x 70 x 25 x 3,2</t>
  </si>
  <si>
    <t xml:space="preserve">Baldosa de vidrio plana sobre estructura de acero</t>
  </si>
  <si>
    <t xml:space="preserve">Pino Laminado 6" x 9" (14 x 18,9 cm)</t>
  </si>
  <si>
    <t xml:space="preserve">Cuadrado 10 x 10 mm; e = 0,7 mm</t>
  </si>
  <si>
    <t xml:space="preserve">Baldosa vinílica, 3,2 mm de espesor</t>
  </si>
  <si>
    <t xml:space="preserve">Pino Laminado 6" x 10" (14 x 21 cm)</t>
  </si>
  <si>
    <t xml:space="preserve">Cuadrado 10 x 10 mm; e = 0,8 mm</t>
  </si>
  <si>
    <t xml:space="preserve">Baldosa de mortero de cemento</t>
  </si>
  <si>
    <t xml:space="preserve">Pino Laminado 6" x 11" (14 x 23,1 cm)</t>
  </si>
  <si>
    <t xml:space="preserve">Cuadrado 10 x 10 mm; e = 0,9 mm</t>
  </si>
  <si>
    <t xml:space="preserve">Baldosón granítico, 38 mm de espesor</t>
  </si>
  <si>
    <t xml:space="preserve">Pino Laminado 6" x 12" (14 x 25,2 cm)</t>
  </si>
  <si>
    <t xml:space="preserve">Cuadrado 10 x 10 mm; e = 1,1 mm</t>
  </si>
  <si>
    <t xml:space="preserve">Linóleo o loseta de goma, 6 mm de espesor</t>
  </si>
  <si>
    <t xml:space="preserve">Pino Laminado 6" x 13" (14 x 27,3 cm)</t>
  </si>
  <si>
    <t xml:space="preserve">Cuadrado 10 x 10 mm; e = 1,2 mm</t>
  </si>
  <si>
    <t xml:space="preserve">Mosaico calcáreo, 20 mm de espesor</t>
  </si>
  <si>
    <t xml:space="preserve">Pino Laminado 6" x 14" (14 x 29,4 cm)</t>
  </si>
  <si>
    <t xml:space="preserve">Cuadrado 100 x 100 mm; e = 1,6 mm</t>
  </si>
  <si>
    <t xml:space="preserve">Mosaico de granito reconstituido</t>
  </si>
  <si>
    <t xml:space="preserve">Pino Laminado 6" x 15" (14 x 31,5 cm)</t>
  </si>
  <si>
    <t xml:space="preserve">Cuadrado 100 x 100 mm; e = 2 mm</t>
  </si>
  <si>
    <t xml:space="preserve">Parquet común, hasta 14 mm de espesor: Madera Dura</t>
  </si>
  <si>
    <t xml:space="preserve">Pino Laminado 6" x 16" (14 x 33,6 cm)</t>
  </si>
  <si>
    <t xml:space="preserve">Cuadrado 100 x 100 mm; e = 2,5 mm</t>
  </si>
  <si>
    <t xml:space="preserve">Parquet común, hasta 14 mm de espesor: Madera Semidura</t>
  </si>
  <si>
    <t xml:space="preserve">Pino Laminado 6" x 17" (14 x 35,7 cm)</t>
  </si>
  <si>
    <t xml:space="preserve">Cuadrado 100 x 100 mm; e = 3,2 mm</t>
  </si>
  <si>
    <t xml:space="preserve">Piso de madera, hasta 22 mm de espesor: Madera Dura</t>
  </si>
  <si>
    <t xml:space="preserve">Pino Laminado 6" x 18" (14 x 37,8 cm)</t>
  </si>
  <si>
    <t xml:space="preserve">Cuadrado 100 x 100 mm; e = 6,35 mm</t>
  </si>
  <si>
    <t xml:space="preserve">Piso de madera, hasta 22 mm de espesor: Madera Semidura</t>
  </si>
  <si>
    <t xml:space="preserve">Pino Laminado 6" x 19" (14 x 39,9 cm)</t>
  </si>
  <si>
    <t xml:space="preserve">Cuadrado 115 x 115 mm; e = 4,78 mm</t>
  </si>
  <si>
    <t xml:space="preserve">Piso elevado o flotante</t>
  </si>
  <si>
    <t xml:space="preserve">Pino Laminado 6" x 20" (14 x 42 cm)</t>
  </si>
  <si>
    <t xml:space="preserve">Cuadrado 115 x 115 mm; e = 6,35 mm</t>
  </si>
  <si>
    <t xml:space="preserve">Porcelanato</t>
  </si>
  <si>
    <t xml:space="preserve">Pino Laminado 7" x 7" (16,5 x 14,7 cm)</t>
  </si>
  <si>
    <t xml:space="preserve">Cuadrado 12,5 x 12,5 mm; e = 0,7 mm</t>
  </si>
  <si>
    <t xml:space="preserve">Chapa rayada/ lisa, 6 mm de espesor</t>
  </si>
  <si>
    <t xml:space="preserve">Pino Laminado 7" x 8" (16,5 x 16,8 cm)</t>
  </si>
  <si>
    <t xml:space="preserve">Cuadrado 12,5 x 12,5 mm; e = 0,8 mm</t>
  </si>
  <si>
    <t xml:space="preserve">Chapa rayada/ lisa 8 mm de espesor</t>
  </si>
  <si>
    <t xml:space="preserve">Pino Laminado 7" x 9" (16,5 x 18,91 cm)</t>
  </si>
  <si>
    <t xml:space="preserve">Cuadrado 12,5 x 12,5 mm; e = 0,9 mm</t>
  </si>
  <si>
    <t xml:space="preserve">Chapa rayada/ lisa 10 mm de espesor</t>
  </si>
  <si>
    <t xml:space="preserve">Pino Laminado 7" x 10" (16,5 x 21 cm)</t>
  </si>
  <si>
    <t xml:space="preserve">Cuadrado 12,5 x 12,5 mm; e = 1,1 mm</t>
  </si>
  <si>
    <t xml:space="preserve">Contrapiso de cal, arena, polvo de ladrillo y cascote</t>
  </si>
  <si>
    <t xml:space="preserve">Pino Laminado 7" x 11" (16,5 x 23,1 cm)</t>
  </si>
  <si>
    <t xml:space="preserve">Cuadrado 12,5 x 12,5 mm; e = 1,2 mm</t>
  </si>
  <si>
    <t xml:space="preserve">Pino Laminado 7" x 12" (16,5 x 25,2 cm)</t>
  </si>
  <si>
    <t xml:space="preserve">Cuadrado 12,5 x 12,5 mm; e = 1,6 mm</t>
  </si>
  <si>
    <t xml:space="preserve">Contrapiso de piedra o canto rodado con mortero de cal</t>
  </si>
  <si>
    <t xml:space="preserve">Pino Laminado 7" x 13" (16,5 x 27,3 cm)</t>
  </si>
  <si>
    <t xml:space="preserve">Cuadrado 12,5 x 12,5 mm; e = 2 mm</t>
  </si>
  <si>
    <t xml:space="preserve">Tabique de placa de yeso simple montada sobre bastidor metálico, 95 mm de espesor</t>
  </si>
  <si>
    <t xml:space="preserve">Tabiques</t>
  </si>
  <si>
    <t xml:space="preserve">Pino Laminado 7" x 14" (16,5 x 29,4 cm)</t>
  </si>
  <si>
    <t xml:space="preserve">Cuadrado 120 x 120 mm; e = 6,35 mm</t>
  </si>
  <si>
    <t xml:space="preserve">Tabique de placa de yeso doble montada sobre bastidor metálico, 120 mm de espesor</t>
  </si>
  <si>
    <t xml:space="preserve">Pino Laminado 7" x 15" (16,5 x 31,5 cm)</t>
  </si>
  <si>
    <t xml:space="preserve">Cuadrado 15 x 15 mm; e = 0,7 mm</t>
  </si>
  <si>
    <t xml:space="preserve">Tabique de panel premoldeado de yeso cerámico autoportante, de 70 mm de espesor</t>
  </si>
  <si>
    <t xml:space="preserve">Pino Laminado 7" x 16" (16,5 x 33,6 cm)</t>
  </si>
  <si>
    <t xml:space="preserve">Cuadrado 15 x 15 mm; e = 0,9 mm</t>
  </si>
  <si>
    <t xml:space="preserve">Tabique de panel premoldeado de yeso cerámico autoportante, 100 mm de espesor</t>
  </si>
  <si>
    <t xml:space="preserve">Pino Laminado 7" x 17" (16,5 x 35,7 cm)</t>
  </si>
  <si>
    <t xml:space="preserve">Cuadrado 15 x 15 mm; e = 1,1 mm</t>
  </si>
  <si>
    <t xml:space="preserve">Vidrio sin armar con su plano transparente Sencillo (e = 2,0 mm)</t>
  </si>
  <si>
    <t xml:space="preserve">Vidrios, Policarbonatos y Acrílicos</t>
  </si>
  <si>
    <t xml:space="preserve">Pino Laminado 7" x 18" (16,5 x 37,8 cm)</t>
  </si>
  <si>
    <t xml:space="preserve">Cuadrado 15 x 15 mm; e = 1,2 mm</t>
  </si>
  <si>
    <t xml:space="preserve">Vidrio sin armar con su plano transparente Doble e = 2,7 mm)</t>
  </si>
  <si>
    <t xml:space="preserve">Pino Laminado 7" x 19" (16,5 x 39,9 cm)</t>
  </si>
  <si>
    <t xml:space="preserve">Cuadrado 15 x 15 mm; e = 1,6 mm</t>
  </si>
  <si>
    <t xml:space="preserve">Vidrio sin armar con su plano transparente Triple (e = 3,6 mm)</t>
  </si>
  <si>
    <t xml:space="preserve">Pino Laminado 7" x 20" (16,5 x 42 cm)</t>
  </si>
  <si>
    <t xml:space="preserve">Cuadrado 15 x 15 mm; e = 2 mm</t>
  </si>
  <si>
    <t xml:space="preserve">Vidrio sin armar con su plano transparente Grueso (e = 4,2 mm)</t>
  </si>
  <si>
    <t xml:space="preserve">Pino Laminado 7" x 21" (16,5 x 44,1 cm)</t>
  </si>
  <si>
    <t xml:space="preserve">Cuadrado 20 x 20 mm; e = 0,8 mm</t>
  </si>
  <si>
    <t xml:space="preserve">Plano translúcido (e = 2,9 mm)</t>
  </si>
  <si>
    <t xml:space="preserve">Pino Laminado 8" x 8" (19 x 16,8 cm)</t>
  </si>
  <si>
    <t xml:space="preserve">Cuadrado 20 x 20 mm; e = 0,9 mm</t>
  </si>
  <si>
    <t xml:space="preserve">por cada mm más de espesor de vidrio</t>
  </si>
  <si>
    <t xml:space="preserve">Pino Laminado 8" x 9" (19 x 18,9 cm)</t>
  </si>
  <si>
    <t xml:space="preserve">Cuadrado 20 x 20 mm; e = 1,1 mm</t>
  </si>
  <si>
    <t xml:space="preserve">Vidrio armado, por cada mm. de espesor de vidrio</t>
  </si>
  <si>
    <t xml:space="preserve">Pino Laminado 8" x 10" (19 x 21 cm)</t>
  </si>
  <si>
    <t xml:space="preserve">Cuadrado 20 x 20 mm; e = 1,2 mm</t>
  </si>
  <si>
    <t xml:space="preserve">Cristal laminado de seguridad, resistente a golpes de 2 capas de 3 mm c/u</t>
  </si>
  <si>
    <t xml:space="preserve">Pino Laminado 8" x 11" (19 x 23,1 cm)</t>
  </si>
  <si>
    <t xml:space="preserve">Cuadrado 20 x 20 mm; e = 1,6 mm</t>
  </si>
  <si>
    <t xml:space="preserve">Cristal laminado de seguridad, resistente a golpes de 2 capas de 4 mm c/u</t>
  </si>
  <si>
    <t xml:space="preserve">Pino Laminado 8" x 12" (19 x 25,2 cm)</t>
  </si>
  <si>
    <t xml:space="preserve">Cuadrado 20 x 20 mm; e = 2 mm</t>
  </si>
  <si>
    <t xml:space="preserve">Vidrio templado de entre 3 a 10 mm, por cada milímetro de espesor de vidrio</t>
  </si>
  <si>
    <t xml:space="preserve">Pino Laminado 8" x 13" (19 x 27,3 cm)</t>
  </si>
  <si>
    <t xml:space="preserve">Cuadrado 25 x 25 mm; e = 0,8 mm</t>
  </si>
  <si>
    <t xml:space="preserve">Policarbonato alveolar translúcido (e = 6,0 mm)</t>
  </si>
  <si>
    <t xml:space="preserve">Pino Laminado 8" x 14" (19 x 29,4 cm)</t>
  </si>
  <si>
    <t xml:space="preserve">Cuadrado 25 x 25 mm; e = 0,9 mm</t>
  </si>
  <si>
    <t xml:space="preserve">Policarbonato alveolar translúcido (e = 8,0 mm)</t>
  </si>
  <si>
    <t xml:space="preserve">Pino Laminado 8" x 15" (19 x 31,5 cm)</t>
  </si>
  <si>
    <t xml:space="preserve">Cuadrado 25 x 25 mm; e = 1,1 mm</t>
  </si>
  <si>
    <t xml:space="preserve">Policarbonato alveolar translúcido (e = 10,0 mm)</t>
  </si>
  <si>
    <t xml:space="preserve">Pino Laminado 8" x 16" (19 x 33,6 cm)</t>
  </si>
  <si>
    <t xml:space="preserve">Cuadrado 25 x 25 mm; e = 1,2 mm</t>
  </si>
  <si>
    <t xml:space="preserve">Policarbonato compacto transparente de entre 2 y 6 mm, por cada mm de espesor de policarbonato</t>
  </si>
  <si>
    <t xml:space="preserve">Pino Laminado 8" x 17" (19 x 35,7 cm)</t>
  </si>
  <si>
    <t xml:space="preserve">Cuadrado 25 x 25 mm; e = 1,6 mm</t>
  </si>
  <si>
    <t xml:space="preserve">Poliacrílico con fibra de alta tenacidad, translúcido (e = 2,0 mm)</t>
  </si>
  <si>
    <t xml:space="preserve">Pino Laminado 8" x 18" (19 x 37,8 cm)</t>
  </si>
  <si>
    <t xml:space="preserve">Cuadrado 25 x 25 mm; e = 2 mm</t>
  </si>
  <si>
    <t xml:space="preserve">Poliacrílico con fibra de alta tenacidad, translúcido (e = 4,0 mm)</t>
  </si>
  <si>
    <t xml:space="preserve">Pino Laminado 8" x 19" (19 x 39,9 cm)</t>
  </si>
  <si>
    <t xml:space="preserve">Cuadrado 30 x 30 mm; e = 0,8 mm</t>
  </si>
  <si>
    <t xml:space="preserve">Poliacrílico con fibra de alta tenacidad, translúcido (e = 6,0 mm)</t>
  </si>
  <si>
    <t xml:space="preserve">Pino Laminado 8" x 20" (19 x 42 cm)</t>
  </si>
  <si>
    <t xml:space="preserve">Cuadrado 30 x 30 mm; e = 0,9 mm</t>
  </si>
  <si>
    <t xml:space="preserve">Aserrín de madera</t>
  </si>
  <si>
    <t xml:space="preserve">Combustibles (*)</t>
  </si>
  <si>
    <t xml:space="preserve">Pino Laminado 8" x 21" (19 x 44,1 cm)</t>
  </si>
  <si>
    <t xml:space="preserve">Cuadrado 30 x 30 mm; e = 1,1 mm</t>
  </si>
  <si>
    <t xml:space="preserve">Carbón de antracita, a granel</t>
  </si>
  <si>
    <t xml:space="preserve">Pino Laminado 8" x 22" (19 x 46,2 cm)</t>
  </si>
  <si>
    <t xml:space="preserve">Cuadrado 30 x 30 mm; e = 1,2 mm</t>
  </si>
  <si>
    <t xml:space="preserve">Carbón bituminoso, a granel</t>
  </si>
  <si>
    <t xml:space="preserve">Cuadrado 30 x 30 mm; e = 1,6 mm</t>
  </si>
  <si>
    <t xml:space="preserve">Carbón de lignito, a granel</t>
  </si>
  <si>
    <t xml:space="preserve">Cuadrado 30 x 30 mm; e = 2 mm</t>
  </si>
  <si>
    <t xml:space="preserve">Carbón de turba, seco, suelto</t>
  </si>
  <si>
    <t xml:space="preserve">Cuadrado 35 x 35 mm; e = 0,8 mm</t>
  </si>
  <si>
    <t xml:space="preserve">Coque</t>
  </si>
  <si>
    <t xml:space="preserve">Cuadrado 35 x 35 mm; e = 0,9 mm</t>
  </si>
  <si>
    <t xml:space="preserve">Madera en astillas</t>
  </si>
  <si>
    <t xml:space="preserve">Cuadrado 35 x 35 mm; e = 1,1 mm</t>
  </si>
  <si>
    <t xml:space="preserve">Madera en trozos</t>
  </si>
  <si>
    <t xml:space="preserve">Cuadrado 35 x 35 mm; e = 1,2 mm</t>
  </si>
  <si>
    <t xml:space="preserve">Aceites en general</t>
  </si>
  <si>
    <t xml:space="preserve">Líquidos</t>
  </si>
  <si>
    <t xml:space="preserve">Cuadrado 35 x 35 mm; e = 1,6 mm</t>
  </si>
  <si>
    <t xml:space="preserve">Aceite de ricino</t>
  </si>
  <si>
    <t xml:space="preserve">Cuadrado 35 x 35 mm; e = 2 mm</t>
  </si>
  <si>
    <t xml:space="preserve">Acetona</t>
  </si>
  <si>
    <t xml:space="preserve">Cuadrado 40 x 40 mm; e = 0,8 mm</t>
  </si>
  <si>
    <t xml:space="preserve">Acido clorhídrico al 40%</t>
  </si>
  <si>
    <t xml:space="preserve">Cuadrado 40 x 40 mm; e = 0,9 mm</t>
  </si>
  <si>
    <t xml:space="preserve">Acido nítrico al 68%</t>
  </si>
  <si>
    <t xml:space="preserve">Cuadrado 40 x 40 mm; e = 1,1 mm</t>
  </si>
  <si>
    <t xml:space="preserve">Acido sulfúrico al 98%</t>
  </si>
  <si>
    <t xml:space="preserve">Cuadrado 40 x 40 mm; e = 1,2 mm</t>
  </si>
  <si>
    <t xml:space="preserve">Agua</t>
  </si>
  <si>
    <t xml:space="preserve">Cuadrado 40 x 40 mm; e = 1,6 mm</t>
  </si>
  <si>
    <t xml:space="preserve">Alcohol etílico</t>
  </si>
  <si>
    <t xml:space="preserve">Cuadrado 40 x 40 mm; e = 2 mm</t>
  </si>
  <si>
    <t xml:space="preserve">Anilina</t>
  </si>
  <si>
    <t xml:space="preserve">Cuadrado 40 x 40 mm; e = 2,5 mm</t>
  </si>
  <si>
    <t xml:space="preserve">Bencina</t>
  </si>
  <si>
    <t xml:space="preserve">Cuadrado 40 x 40 mm; e = 3,2 mm</t>
  </si>
  <si>
    <t xml:space="preserve">Benceno (benzol)</t>
  </si>
  <si>
    <t xml:space="preserve">Cuadrado 45 x 45 mm; e = 0,9 mm</t>
  </si>
  <si>
    <t xml:space="preserve">Cerveza</t>
  </si>
  <si>
    <t xml:space="preserve">Cuadrado 45 x 45 mm; e = 1,1 mm</t>
  </si>
  <si>
    <t xml:space="preserve">Creosota</t>
  </si>
  <si>
    <t xml:space="preserve">Cuadrado 45 x 45 mm; e = 1,2 mm</t>
  </si>
  <si>
    <t xml:space="preserve">Dieseloil</t>
  </si>
  <si>
    <t xml:space="preserve">Cuadrado 45 x 45 mm; e = 1,6 mm</t>
  </si>
  <si>
    <t xml:space="preserve">Fueloil</t>
  </si>
  <si>
    <t xml:space="preserve">Cuadrado 45 x 45 mm; e = 2 mm</t>
  </si>
  <si>
    <t xml:space="preserve">Gas butano</t>
  </si>
  <si>
    <t xml:space="preserve">Cuadrado 45 x 45 mm; e = 2,5 mm</t>
  </si>
  <si>
    <t xml:space="preserve">Gas propano</t>
  </si>
  <si>
    <t xml:space="preserve">Cuadrado 45 x 45 mm; e = 3,2 mm</t>
  </si>
  <si>
    <t xml:space="preserve">Gasoil</t>
  </si>
  <si>
    <t xml:space="preserve">Cuadrado 50 x 50 mm; e = 0,9 mm</t>
  </si>
  <si>
    <t xml:space="preserve">Glicerina</t>
  </si>
  <si>
    <t xml:space="preserve">Cuadrado 50 x 50 mm; e = 1,1 mm</t>
  </si>
  <si>
    <t xml:space="preserve">Leche</t>
  </si>
  <si>
    <t xml:space="preserve">Cuadrado 50 x 50 mm; e = 1,2 mm</t>
  </si>
  <si>
    <t xml:space="preserve">Mercurio</t>
  </si>
  <si>
    <t xml:space="preserve">Cuadrado 50 x 50 mm; e = 1,6 mm</t>
  </si>
  <si>
    <t xml:space="preserve">Petróleo crudo</t>
  </si>
  <si>
    <t xml:space="preserve">Cuadrado 50 x 50 mm; e = 2 mm</t>
  </si>
  <si>
    <t xml:space="preserve">Querosene</t>
  </si>
  <si>
    <t xml:space="preserve">Cuadrado 50 x 50 mm; e = 2,5 mm</t>
  </si>
  <si>
    <t xml:space="preserve">Nafta</t>
  </si>
  <si>
    <t xml:space="preserve">Cuadrado 50 x 50 mm; e = 3,2 mm</t>
  </si>
  <si>
    <t xml:space="preserve">Vino</t>
  </si>
  <si>
    <t xml:space="preserve">Cuadrado 60 x 60 mm; e = 1,1 mm</t>
  </si>
  <si>
    <t xml:space="preserve">Arcilla expandida por cocción de grano fino: no mayor que 3 mm</t>
  </si>
  <si>
    <t xml:space="preserve">Materiales de construcción varios</t>
  </si>
  <si>
    <t xml:space="preserve">Cuadrado 60 x 60 mm; e = 1,2 mm</t>
  </si>
  <si>
    <t xml:space="preserve">Arcilla expandida por cocción de grano intermedio: de 3 a 10 mm</t>
  </si>
  <si>
    <t xml:space="preserve">Cuadrado 60 x 60 mm; e = 1,6 mm</t>
  </si>
  <si>
    <t xml:space="preserve">Arcilla expandida por cocción de grano grueso: mayor que 10 mm</t>
  </si>
  <si>
    <t xml:space="preserve">Cuadrado 60 x 60 mm; e = 2 mm</t>
  </si>
  <si>
    <t xml:space="preserve">Cal en pasta</t>
  </si>
  <si>
    <t xml:space="preserve">Cuadrado 60 x 60 mm; e = 2,5 mm</t>
  </si>
  <si>
    <t xml:space="preserve">Cal en polvo</t>
  </si>
  <si>
    <t xml:space="preserve">Cuadrado 60 x 60 mm; e = 3,2 mm</t>
  </si>
  <si>
    <t xml:space="preserve">Cal viva</t>
  </si>
  <si>
    <t xml:space="preserve">Cuadrado 60 x 60 mm; e = 5,16 mm</t>
  </si>
  <si>
    <t xml:space="preserve">Cascote de ladrillo, apilado</t>
  </si>
  <si>
    <t xml:space="preserve">Cuadrado 70 x 70 mm; e = 1,2 mm</t>
  </si>
  <si>
    <t xml:space="preserve">Cemento suelto</t>
  </si>
  <si>
    <t xml:space="preserve">Cuadrado 70 x 70 mm; e = 1,6 mm</t>
  </si>
  <si>
    <t xml:space="preserve">Escoria de altos hornos granulada</t>
  </si>
  <si>
    <t xml:space="preserve">Cuadrado 70 x 70 mm; e = 2 mm</t>
  </si>
  <si>
    <t xml:space="preserve">Escoria de altos hornos en trozos</t>
  </si>
  <si>
    <t xml:space="preserve">Cuadrado 70 x 70 mm; e = 2,5 mm</t>
  </si>
  <si>
    <t xml:space="preserve">Granza de ladrillo</t>
  </si>
  <si>
    <t xml:space="preserve">Cuadrado 70 x 70 mm; e = 3,2 mm</t>
  </si>
  <si>
    <t xml:space="preserve">Grava o canto rodado, seco</t>
  </si>
  <si>
    <t xml:space="preserve">Cuadrado 70 x 70 mm; e = 3,6 mm</t>
  </si>
  <si>
    <t xml:space="preserve">Perlita expandida</t>
  </si>
  <si>
    <t xml:space="preserve">Cuadrado 70 x 70 mm; e = 5,49 mm</t>
  </si>
  <si>
    <t xml:space="preserve">Piedra partida, apilada cuarcítica</t>
  </si>
  <si>
    <t xml:space="preserve">Cuadrado 75 x 75 mm; e = 5,49 mm</t>
  </si>
  <si>
    <t xml:space="preserve">Piedra partida, apilada granítica</t>
  </si>
  <si>
    <t xml:space="preserve">Cuadrado 80 x 80 mm; e = 1,6 mm</t>
  </si>
  <si>
    <t xml:space="preserve">Policloruro de vinilo (PVC)</t>
  </si>
  <si>
    <t xml:space="preserve">Cuadrado 80 x 80 mm; e = 2 mm</t>
  </si>
  <si>
    <t xml:space="preserve">Polvo de ladrillo</t>
  </si>
  <si>
    <t xml:space="preserve">Cuadrado 80 x 80 mm; e = 2,5 mm</t>
  </si>
  <si>
    <t xml:space="preserve">Suelo, no sumergido de arcilla, seca</t>
  </si>
  <si>
    <t xml:space="preserve">Cuadrado 80 x 80 mm; e = 3,2 mm</t>
  </si>
  <si>
    <t xml:space="preserve">Suelo, no sumergido de arcilla, húmeda</t>
  </si>
  <si>
    <t xml:space="preserve">Cuadrado 80 x 80 mm; e = 6,35 mm</t>
  </si>
  <si>
    <t xml:space="preserve">Suelo, no sumergido de arcilla y grava, seca</t>
  </si>
  <si>
    <t xml:space="preserve">Cuadrado 90 x 90 mm; e = 1,6 mm</t>
  </si>
  <si>
    <t xml:space="preserve">Suelo, no sumergido de arena y grava, seca, suelta</t>
  </si>
  <si>
    <t xml:space="preserve">Cuadrado 90 x 90 mm; e = 2 mm</t>
  </si>
  <si>
    <t xml:space="preserve">Suelo, no sumergido de arena y grava, seca, densa</t>
  </si>
  <si>
    <t xml:space="preserve">Cuadrado 90 x 90 mm; e = 2,5 mm</t>
  </si>
  <si>
    <t xml:space="preserve">Suelo, no sumergido de arena y grava, húmeda</t>
  </si>
  <si>
    <t xml:space="preserve">Cuadrado 90 x 90 mm; e = 3,2 mm</t>
  </si>
  <si>
    <t xml:space="preserve">Suelo, no sumergido de limo, húmedo y poco compacto</t>
  </si>
  <si>
    <t xml:space="preserve">Cuadrado 90 x 90 mm; e = 4 mm</t>
  </si>
  <si>
    <t xml:space="preserve">Suelo, no sumergido de limo, húmedo y compacto</t>
  </si>
  <si>
    <t xml:space="preserve">Cuadrado 90 x 90 mm; e = 6,02 mm</t>
  </si>
  <si>
    <t xml:space="preserve">Suelo, no sumergido de limo, muy húmedo</t>
  </si>
  <si>
    <t xml:space="preserve">Rectangular 10 x 20 mm; e = 0,7 mm</t>
  </si>
  <si>
    <t xml:space="preserve">Suelo sumergido arcilla</t>
  </si>
  <si>
    <t xml:space="preserve">Rectangular 10 x 20 mm; e = 0,9 mm</t>
  </si>
  <si>
    <t xml:space="preserve">arena o grava</t>
  </si>
  <si>
    <t xml:space="preserve">Rectangular 10 x 20 mm; e = 1,1 mm</t>
  </si>
  <si>
    <t xml:space="preserve">arena o grava y arcilla</t>
  </si>
  <si>
    <t xml:space="preserve">Rectangular 10 x 20 mm; e = 1,2 mm</t>
  </si>
  <si>
    <t xml:space="preserve">fango de río</t>
  </si>
  <si>
    <t xml:space="preserve">Rectangular 10 x 20 mm; e = 1,6 mm</t>
  </si>
  <si>
    <t xml:space="preserve">tierra negra o vegetal</t>
  </si>
  <si>
    <t xml:space="preserve">Rectangular 10 x 20 mm; e = 2 mm</t>
  </si>
  <si>
    <t xml:space="preserve">Yeso para cielorrasos y enlucidos</t>
  </si>
  <si>
    <t xml:space="preserve">Rectangular 10 x 30 mm; e = 0,8 mm</t>
  </si>
  <si>
    <t xml:space="preserve">en polvo</t>
  </si>
  <si>
    <t xml:space="preserve">Rectangular 10 x 30 mm; e = 0,9 mm</t>
  </si>
  <si>
    <t xml:space="preserve">Abonos artificiales</t>
  </si>
  <si>
    <t xml:space="preserve">Materiales diversos</t>
  </si>
  <si>
    <t xml:space="preserve">Rectangular 10 x 30 mm; e = 1,1 mm</t>
  </si>
  <si>
    <t xml:space="preserve">Adobe</t>
  </si>
  <si>
    <t xml:space="preserve">Rectangular 10 x 30 mm; e = 1,2 mm</t>
  </si>
  <si>
    <t xml:space="preserve">Alquitrán</t>
  </si>
  <si>
    <t xml:space="preserve">Rectangular 10 x 30 mm; e = 1,6 mm</t>
  </si>
  <si>
    <t xml:space="preserve">Aserrín (en bolsa)</t>
  </si>
  <si>
    <t xml:space="preserve">Rectangular 10 x 30 mm; e = 2 mm</t>
  </si>
  <si>
    <t xml:space="preserve">Asfalto</t>
  </si>
  <si>
    <t xml:space="preserve">Rectangular 10 x 40 mm; e = 0,8 mm</t>
  </si>
  <si>
    <t xml:space="preserve">Azufre sólido</t>
  </si>
  <si>
    <t xml:space="preserve">Rectangular 10 x 40 mm; e = 0,9 mm</t>
  </si>
  <si>
    <t xml:space="preserve">Basura</t>
  </si>
  <si>
    <t xml:space="preserve">Rectangular 10 x 40 mm; e = 1,1 mm</t>
  </si>
  <si>
    <t xml:space="preserve">Brea</t>
  </si>
  <si>
    <t xml:space="preserve">Rectangular 10 x 40 mm; e = 1,2 mm</t>
  </si>
  <si>
    <t xml:space="preserve">Cacao</t>
  </si>
  <si>
    <t xml:space="preserve">Rectangular 10 x 40 mm; e = 1,6 mm</t>
  </si>
  <si>
    <t xml:space="preserve">Cáñamo</t>
  </si>
  <si>
    <t xml:space="preserve">Rectangular 10 x 40 mm; e = 2 mm</t>
  </si>
  <si>
    <t xml:space="preserve">Carburo de calcio</t>
  </si>
  <si>
    <t xml:space="preserve">Rectangular 100 x 120 mm; e = 4,78 mm</t>
  </si>
  <si>
    <t xml:space="preserve">Caucho (en bruto)</t>
  </si>
  <si>
    <t xml:space="preserve">Rectangular 100 x 120 mm; e = 6,35 mm</t>
  </si>
  <si>
    <t xml:space="preserve">Corcho</t>
  </si>
  <si>
    <t xml:space="preserve">Rectangular 100 x 130 mm; e = 4,78 mm</t>
  </si>
  <si>
    <t xml:space="preserve">Cuero</t>
  </si>
  <si>
    <t xml:space="preserve">Rectangular 100 x 130 mm; e = 6,35 mm</t>
  </si>
  <si>
    <t xml:space="preserve">Estiércol apelmazado</t>
  </si>
  <si>
    <t xml:space="preserve">Rectangular 100 x 140 mm; e = 6,35 mm</t>
  </si>
  <si>
    <t xml:space="preserve">Estiercol suelto</t>
  </si>
  <si>
    <t xml:space="preserve">Rectangular 14 x 30 mm; e = 0,8 mm</t>
  </si>
  <si>
    <t xml:space="preserve">Harina de pescado</t>
  </si>
  <si>
    <t xml:space="preserve">Rectangular 14 x 30 mm; e = 0,9 mm</t>
  </si>
  <si>
    <t xml:space="preserve">Hielo</t>
  </si>
  <si>
    <t xml:space="preserve">Rectangular 14 x 30 mm; e = 1,1 mm</t>
  </si>
  <si>
    <t xml:space="preserve">Lana en fardos</t>
  </si>
  <si>
    <t xml:space="preserve">Rectangular 14 x 30 mm; e = 1,2 mm</t>
  </si>
  <si>
    <t xml:space="preserve">Libros y documentos apilados</t>
  </si>
  <si>
    <t xml:space="preserve">Rectangular 14 x 30 mm; e = 1,4 mm</t>
  </si>
  <si>
    <t xml:space="preserve">Masilla</t>
  </si>
  <si>
    <t xml:space="preserve">Rectangular 14 x 30 mm; e = 1,6 mm</t>
  </si>
  <si>
    <t xml:space="preserve">Mica</t>
  </si>
  <si>
    <t xml:space="preserve">Rectangular 14 x 30 mm; e = 2 mm</t>
  </si>
  <si>
    <t xml:space="preserve">Mineral de hierro</t>
  </si>
  <si>
    <t xml:space="preserve">Rectangular 15 x 20 mm; e = 0,7 mm</t>
  </si>
  <si>
    <t xml:space="preserve">Naftalina</t>
  </si>
  <si>
    <t xml:space="preserve">Rectangular 15 x 20 mm; e = 0,8 mm</t>
  </si>
  <si>
    <t xml:space="preserve">Papel apilado</t>
  </si>
  <si>
    <t xml:space="preserve">Rectangular 15 x 20 mm; e = 0,9 mm</t>
  </si>
  <si>
    <t xml:space="preserve">Papel en rollos</t>
  </si>
  <si>
    <t xml:space="preserve">Rectangular 15 x 20 mm; e = 1,1 mm</t>
  </si>
  <si>
    <t xml:space="preserve">Parafina</t>
  </si>
  <si>
    <t xml:space="preserve">Rectangular 15 x 20 mm; e = 1,2 mm</t>
  </si>
  <si>
    <t xml:space="preserve">Pieles</t>
  </si>
  <si>
    <t xml:space="preserve">Rectangular 15 x 20 mm; e = 1,6 mm</t>
  </si>
  <si>
    <t xml:space="preserve">Pirita</t>
  </si>
  <si>
    <t xml:space="preserve">Rectangular 15 x 20 mm; e = 2 mm</t>
  </si>
  <si>
    <t xml:space="preserve">Pólvora prensada</t>
  </si>
  <si>
    <t xml:space="preserve">Rectangular 15 x 25 mm; e = 0,8 mm</t>
  </si>
  <si>
    <t xml:space="preserve">Pólvora suelta</t>
  </si>
  <si>
    <t xml:space="preserve">Rectangular 15 x 25 mm; e = 0,9 mm</t>
  </si>
  <si>
    <t xml:space="preserve">Porcelana y loza apilada (incluye espacios huecos)</t>
  </si>
  <si>
    <t xml:space="preserve">Rectangular 15 x 25 mm; e = 1,1 mm</t>
  </si>
  <si>
    <t xml:space="preserve">Prendas y Trapos (empaquetados)</t>
  </si>
  <si>
    <t xml:space="preserve">Rectangular 15 x 25 mm; e = 1,2 mm</t>
  </si>
  <si>
    <t xml:space="preserve">Resina artificial</t>
  </si>
  <si>
    <t xml:space="preserve">Rectangular 15 x 25 mm; e = 1,6 mm</t>
  </si>
  <si>
    <t xml:space="preserve">Sal gema</t>
  </si>
  <si>
    <t xml:space="preserve">Rectangular 15 x 25 mm; e = 2 mm</t>
  </si>
  <si>
    <t xml:space="preserve">Sal molida (gruesa)</t>
  </si>
  <si>
    <t xml:space="preserve">Rectangular 15 x 30 mm; e = 0,8 mm</t>
  </si>
  <si>
    <t xml:space="preserve">Materiales metálicos</t>
  </si>
  <si>
    <t xml:space="preserve">Rectangular 15 x 30 mm; e = 0,9 mm</t>
  </si>
  <si>
    <t xml:space="preserve">Acero al cromo</t>
  </si>
  <si>
    <t xml:space="preserve">Rectangular 15 x 30 mm; e = 1,1 mm</t>
  </si>
  <si>
    <t xml:space="preserve">Acero al níquel</t>
  </si>
  <si>
    <t xml:space="preserve">Rectangular 15 x 30 mm; e = 1,2 mm</t>
  </si>
  <si>
    <t xml:space="preserve">Aluminio</t>
  </si>
  <si>
    <t xml:space="preserve">Rectangular 15 x 30 mm; e = 1,6 mm</t>
  </si>
  <si>
    <t xml:space="preserve">Bronce</t>
  </si>
  <si>
    <t xml:space="preserve">Rectangular 15 x 30 mm; e = 2 mm</t>
  </si>
  <si>
    <t xml:space="preserve">Cobre</t>
  </si>
  <si>
    <t xml:space="preserve">Rectangular 20 x 100 mm; e = 1,1 mm</t>
  </si>
  <si>
    <t xml:space="preserve">Estaño</t>
  </si>
  <si>
    <t xml:space="preserve">Rectangular 20 x 100 mm; e = 1,2 mm</t>
  </si>
  <si>
    <t xml:space="preserve">Hierro colado</t>
  </si>
  <si>
    <t xml:space="preserve">Rectangular 20 x 100 mm; e = 1,6 mm</t>
  </si>
  <si>
    <t xml:space="preserve">Hierro forjado</t>
  </si>
  <si>
    <t xml:space="preserve">Rectangular 20 x 100 mm; e = 2 mm</t>
  </si>
  <si>
    <t xml:space="preserve">Latón</t>
  </si>
  <si>
    <t xml:space="preserve">Rectangular 20 x 100 mm; e = 3,2 mm</t>
  </si>
  <si>
    <t xml:space="preserve">Magnesio</t>
  </si>
  <si>
    <t xml:space="preserve">Rectangular 20 x 30 mm; e = 0,8 mm</t>
  </si>
  <si>
    <t xml:space="preserve">Níquel</t>
  </si>
  <si>
    <t xml:space="preserve">Rectangular 20 x 30 mm; e = 0,9 mm</t>
  </si>
  <si>
    <t xml:space="preserve">Plata</t>
  </si>
  <si>
    <t xml:space="preserve">Rectangular 20 x 30 mm; e = 1,1 mm</t>
  </si>
  <si>
    <t xml:space="preserve">Plomo</t>
  </si>
  <si>
    <t xml:space="preserve">Rectangular 20 x 30 mm; e = 1,2 mm</t>
  </si>
  <si>
    <t xml:space="preserve">Zinc</t>
  </si>
  <si>
    <t xml:space="preserve">Rectangular 20 x 30 mm; e = 1,6 mm</t>
  </si>
  <si>
    <t xml:space="preserve">Ajo</t>
  </si>
  <si>
    <t xml:space="preserve">Productos agrícolas (a granel)</t>
  </si>
  <si>
    <t xml:space="preserve">Rectangular 20 x 30 mm; e = 2 mm</t>
  </si>
  <si>
    <t xml:space="preserve">Algodón en fardos</t>
  </si>
  <si>
    <t xml:space="preserve">Rectangular 20 x 40 mm; e = 0,8 mm</t>
  </si>
  <si>
    <t xml:space="preserve">Alpiste</t>
  </si>
  <si>
    <t xml:space="preserve">Rectangular 20 x 40 mm; e = 0,9 mm</t>
  </si>
  <si>
    <t xml:space="preserve">Arroz cáscara</t>
  </si>
  <si>
    <t xml:space="preserve">Rectangular 20 x 40 mm; e = 1,1 mm</t>
  </si>
  <si>
    <t xml:space="preserve">Arveja</t>
  </si>
  <si>
    <t xml:space="preserve">Rectangular 20 x 40 mm; e = 1,2 mm</t>
  </si>
  <si>
    <t xml:space="preserve">Avena</t>
  </si>
  <si>
    <t xml:space="preserve">Rectangular 20 x 40 mm; e = 1,6 mm</t>
  </si>
  <si>
    <t xml:space="preserve">Azúcar suelta (a granel)</t>
  </si>
  <si>
    <t xml:space="preserve">Rectangular 20 x 40 mm; e = 2 mm</t>
  </si>
  <si>
    <t xml:space="preserve">Azúcar compacta</t>
  </si>
  <si>
    <t xml:space="preserve">Rectangular 20 x 50 mm; e = 0,8 mm</t>
  </si>
  <si>
    <t xml:space="preserve">Café</t>
  </si>
  <si>
    <t xml:space="preserve">Rectangular 20 x 50 mm; e = 0,9 mm</t>
  </si>
  <si>
    <t xml:space="preserve">Cebada cervecera</t>
  </si>
  <si>
    <t xml:space="preserve">Rectangular 20 x 50 mm; e = 1,1 mm</t>
  </si>
  <si>
    <t xml:space="preserve">Cebada forrajera</t>
  </si>
  <si>
    <t xml:space="preserve">Rectangular 20 x 50 mm; e = 1,2 mm</t>
  </si>
  <si>
    <t xml:space="preserve">Cebolla</t>
  </si>
  <si>
    <t xml:space="preserve">Rectangular 20 x 50 mm; e = 1,6 mm</t>
  </si>
  <si>
    <t xml:space="preserve">Centeno</t>
  </si>
  <si>
    <t xml:space="preserve">Rectangular 20 x 50 mm; e = 2 mm</t>
  </si>
  <si>
    <t xml:space="preserve">Cítricos en general</t>
  </si>
  <si>
    <t xml:space="preserve">Rectangular 20 x 60 mm; e = 0,8 mm</t>
  </si>
  <si>
    <t xml:space="preserve">Expellers de algodón</t>
  </si>
  <si>
    <t xml:space="preserve">Rectangular 20 x 60 mm; e = 0,9 mm</t>
  </si>
  <si>
    <t xml:space="preserve">Expellers de girasol</t>
  </si>
  <si>
    <t xml:space="preserve">Rectangular 20 x 60 mm; e = 1,1 mm</t>
  </si>
  <si>
    <t xml:space="preserve">Expellers de lino</t>
  </si>
  <si>
    <t xml:space="preserve">Rectangular 20 x 60 mm; e = 1,2 mm</t>
  </si>
  <si>
    <t xml:space="preserve">Expellers de maní</t>
  </si>
  <si>
    <t xml:space="preserve">Rectangular 20 x 60 mm; e = 1,6 mm</t>
  </si>
  <si>
    <t xml:space="preserve">Forraje</t>
  </si>
  <si>
    <t xml:space="preserve">Rectangular 20 x 60 mm; e = 2 mm</t>
  </si>
  <si>
    <t xml:space="preserve">Frutas frescas</t>
  </si>
  <si>
    <t xml:space="preserve">Rectangular 20 x 60 mm; e = 2,5 mm</t>
  </si>
  <si>
    <t xml:space="preserve">Girasol</t>
  </si>
  <si>
    <t xml:space="preserve">Rectangular 20 x 60 mm; e = 3,2 mm</t>
  </si>
  <si>
    <t xml:space="preserve">Harina</t>
  </si>
  <si>
    <t xml:space="preserve">Rectangular 25 x 40 mm; e = 0,8 mm</t>
  </si>
  <si>
    <t xml:space="preserve">Heno prensado</t>
  </si>
  <si>
    <t xml:space="preserve">Rectangular 25 x 40 mm; e = 0,9 mm</t>
  </si>
  <si>
    <t xml:space="preserve">Hortaliza de hoja</t>
  </si>
  <si>
    <t xml:space="preserve">Rectangular 25 x 40 mm; e = 1,1 mm</t>
  </si>
  <si>
    <t xml:space="preserve">Legumbres varias</t>
  </si>
  <si>
    <t xml:space="preserve">Rectangular 25 x 40 mm; e = 1,2 mm</t>
  </si>
  <si>
    <t xml:space="preserve">Lino</t>
  </si>
  <si>
    <t xml:space="preserve">Rectangular 25 x 40 mm; e = 1,6 mm</t>
  </si>
  <si>
    <t xml:space="preserve">Maíz desgranado</t>
  </si>
  <si>
    <t xml:space="preserve">Rectangular 25 x 40 mm; e = 2 mm</t>
  </si>
  <si>
    <t xml:space="preserve">Maíz en mazorca</t>
  </si>
  <si>
    <t xml:space="preserve">Rectangular 25 x 50 mm; e = 0,8 mm</t>
  </si>
  <si>
    <t xml:space="preserve">Malta triturada</t>
  </si>
  <si>
    <t xml:space="preserve">Rectangular 25 x 50 mm; e = 0,9 mm</t>
  </si>
  <si>
    <t xml:space="preserve">Maní descascarado</t>
  </si>
  <si>
    <t xml:space="preserve">Rectangular 25 x 50 mm; e = 1,1 mm</t>
  </si>
  <si>
    <t xml:space="preserve">Mijo</t>
  </si>
  <si>
    <t xml:space="preserve">Rectangular 25 x 50 mm; e = 1,2 mm</t>
  </si>
  <si>
    <t xml:space="preserve">Nabo</t>
  </si>
  <si>
    <t xml:space="preserve">Rectangular 25 x 50 mm; e = 1,6 mm</t>
  </si>
  <si>
    <t xml:space="preserve">Papa</t>
  </si>
  <si>
    <t xml:space="preserve">Rectangular 25 x 50 mm; e = 2 mm</t>
  </si>
  <si>
    <t xml:space="preserve">Poroto</t>
  </si>
  <si>
    <t xml:space="preserve">Rectangular 25 x 53 mm; e = 0,8 mm</t>
  </si>
  <si>
    <t xml:space="preserve">Remolacha azucarera (desecada y cortada)</t>
  </si>
  <si>
    <t xml:space="preserve">Rectangular 25 x 53 mm; e = 0,9 mm</t>
  </si>
  <si>
    <t xml:space="preserve">Remolacha</t>
  </si>
  <si>
    <t xml:space="preserve">Rectangular 25 x 53 mm; e = 1,1 mm</t>
  </si>
  <si>
    <t xml:space="preserve">Sémola</t>
  </si>
  <si>
    <t xml:space="preserve">Rectangular 25 x 53 mm; e = 1,2 mm</t>
  </si>
  <si>
    <t xml:space="preserve">Soja</t>
  </si>
  <si>
    <t xml:space="preserve">Rectangular 25 x 53 mm; e = 1,4 mm</t>
  </si>
  <si>
    <t xml:space="preserve">Sorgo granífero</t>
  </si>
  <si>
    <t xml:space="preserve">Rectangular 25 x 53 mm; e = 1,6 mm</t>
  </si>
  <si>
    <t xml:space="preserve">Tabaco en fardos</t>
  </si>
  <si>
    <t xml:space="preserve">Rectangular 25 x 53 mm; e = 2 mm</t>
  </si>
  <si>
    <t xml:space="preserve">Tomate fresco</t>
  </si>
  <si>
    <t xml:space="preserve">Rectangular 30 x 40 mm; e = 0,8 mm</t>
  </si>
  <si>
    <t xml:space="preserve">Trigo</t>
  </si>
  <si>
    <t xml:space="preserve">Rectangular 30 x 40 mm; e = 0,9 mm</t>
  </si>
  <si>
    <t xml:space="preserve">Verdura</t>
  </si>
  <si>
    <t xml:space="preserve">Rectangular 30 x 40 mm; e = 1,1 mm</t>
  </si>
  <si>
    <t xml:space="preserve">Zanahorias</t>
  </si>
  <si>
    <t xml:space="preserve">Rectangular 30 x 40 mm; e = 1,2 mm</t>
  </si>
  <si>
    <t xml:space="preserve">Arenisca</t>
  </si>
  <si>
    <t xml:space="preserve">Rocas</t>
  </si>
  <si>
    <t xml:space="preserve">Rectangular 30 x 40 mm; e = 1,6 mm</t>
  </si>
  <si>
    <t xml:space="preserve">Arenisca porosa</t>
  </si>
  <si>
    <t xml:space="preserve">Rectangular 30 x 40 mm; e = 2 mm</t>
  </si>
  <si>
    <t xml:space="preserve">Basalto o Meláfiro</t>
  </si>
  <si>
    <t xml:space="preserve">Rectangular 30 x 50 mm; e = 0,8 mm</t>
  </si>
  <si>
    <t xml:space="preserve">Caliza compacta</t>
  </si>
  <si>
    <t xml:space="preserve">Rectangular 30 x 50 mm; e = 0,9 mm</t>
  </si>
  <si>
    <t xml:space="preserve">Caliza porosa</t>
  </si>
  <si>
    <t xml:space="preserve">Rectangular 30 x 50 mm; e = 1,1 mm</t>
  </si>
  <si>
    <t xml:space="preserve">Cuarzo</t>
  </si>
  <si>
    <t xml:space="preserve">Rectangular 30 x 50 mm; e = 1,2 mm</t>
  </si>
  <si>
    <t xml:space="preserve">Diabasa</t>
  </si>
  <si>
    <t xml:space="preserve">Rectangular 30 x 50 mm; e = 1,6 mm</t>
  </si>
  <si>
    <t xml:space="preserve">Diorita</t>
  </si>
  <si>
    <t xml:space="preserve">Rectangular 30 x 50 mm; e = 2 mm</t>
  </si>
  <si>
    <t xml:space="preserve">Dolomita</t>
  </si>
  <si>
    <t xml:space="preserve">Rectangular 30 x 50 mm; e = 2,5 mm</t>
  </si>
  <si>
    <t xml:space="preserve">Gneiss</t>
  </si>
  <si>
    <t xml:space="preserve">Rectangular 30 x 50 mm; e = 3,2 mm</t>
  </si>
  <si>
    <t xml:space="preserve">Gabro</t>
  </si>
  <si>
    <t xml:space="preserve">Rectangular 30 x 60 mm; e = 0,9 mm</t>
  </si>
  <si>
    <t xml:space="preserve">Granito</t>
  </si>
  <si>
    <t xml:space="preserve">Rectangular 30 x 60 mm; e = 1,1 mm</t>
  </si>
  <si>
    <t xml:space="preserve">Mármol</t>
  </si>
  <si>
    <t xml:space="preserve">Rectangular 30 x 60 mm; e = 1,2 mm</t>
  </si>
  <si>
    <t xml:space="preserve">Pizarra</t>
  </si>
  <si>
    <t xml:space="preserve">Rectangular 30 x 60 mm; e = 1,6 mm</t>
  </si>
  <si>
    <t xml:space="preserve">Pórfido</t>
  </si>
  <si>
    <t xml:space="preserve">Rectangular 30 x 60 mm; e = 2 mm</t>
  </si>
  <si>
    <t xml:space="preserve">Sienita</t>
  </si>
  <si>
    <t xml:space="preserve">Rectangular 30 x 60 mm; e = 2,5 mm</t>
  </si>
  <si>
    <t xml:space="preserve">Travertino</t>
  </si>
  <si>
    <t xml:space="preserve">Rectangular 30 x 60 mm; e = 3,2 mm</t>
  </si>
  <si>
    <t xml:space="preserve">Rectangular 30 x 70 mm; e = 0,9 mm</t>
  </si>
  <si>
    <t xml:space="preserve">Rectangular 30 x 70 mm; e = 1,1 mm</t>
  </si>
  <si>
    <t xml:space="preserve">Rectangular 30 x 70 mm; e = 1,2 mm</t>
  </si>
  <si>
    <t xml:space="preserve">Rectangular 30 x 70 mm; e = 1,6 mm</t>
  </si>
  <si>
    <t xml:space="preserve">Rectangular 30 x 70 mm; e = 2 mm</t>
  </si>
  <si>
    <t xml:space="preserve">Rectangular 30 x 70 mm; e = 2,5 mm</t>
  </si>
  <si>
    <t xml:space="preserve">Rectangular 30 x 70 mm; e = 3,2 mm</t>
  </si>
  <si>
    <t xml:space="preserve">Rectangular 40 x 100 mm; e = 1,2 mm</t>
  </si>
  <si>
    <t xml:space="preserve">Rectangular 40 x 100 mm; e = 1,6 mm</t>
  </si>
  <si>
    <t xml:space="preserve">Rectangular 40 x 100 mm; e = 2 mm</t>
  </si>
  <si>
    <t xml:space="preserve">Rectangular 40 x 100 mm; e = 2,5 mm</t>
  </si>
  <si>
    <t xml:space="preserve">Rectangular 40 x 100 mm; e = 3,2 mm</t>
  </si>
  <si>
    <t xml:space="preserve">Rectangular 40 x 100 mm; e = 3,6 mm</t>
  </si>
  <si>
    <t xml:space="preserve">Rectangular 40 x 100 mm; e = 5,49 mm</t>
  </si>
  <si>
    <t xml:space="preserve">Rectangular 40 x 120 mm; e = 1,6 mm</t>
  </si>
  <si>
    <t xml:space="preserve">Rectangular 40 x 120 mm; e = 2 mm</t>
  </si>
  <si>
    <t xml:space="preserve">Rectangular 40 x 120 mm; e = 2,5 mm</t>
  </si>
  <si>
    <t xml:space="preserve">Rectangular 40 x 120 mm; e = 3,2 mm</t>
  </si>
  <si>
    <t xml:space="preserve">Rectangular 40 x 50 mm; e = 0,9 mm</t>
  </si>
  <si>
    <t xml:space="preserve">Rectangular 40 x 50 mm; e = 1,1 mm</t>
  </si>
  <si>
    <t xml:space="preserve">Rectangular 40 x 50 mm; e = 1,2 mm</t>
  </si>
  <si>
    <t xml:space="preserve">Rectangular 40 x 50 mm; e = 1,6 mm</t>
  </si>
  <si>
    <t xml:space="preserve">Rectangular 40 x 50 mm; e = 2 mm</t>
  </si>
  <si>
    <t xml:space="preserve">Rectangular 40 x 50 mm; e = 2,5 mm</t>
  </si>
  <si>
    <t xml:space="preserve">Rectangular 40 x 50 mm; e = 3,2 mm</t>
  </si>
  <si>
    <t xml:space="preserve">Rectangular 40 x 60 mm; e = 0,9 mm</t>
  </si>
  <si>
    <t xml:space="preserve">Rectangular 40 x 60 mm; e = 1,1 mm</t>
  </si>
  <si>
    <t xml:space="preserve">Rectangular 40 x 60 mm; e = 1,2 mm</t>
  </si>
  <si>
    <t xml:space="preserve">Rectangular 40 x 60 mm; e = 1,6 mm</t>
  </si>
  <si>
    <t xml:space="preserve">Rectangular 40 x 60 mm; e = 2 mm</t>
  </si>
  <si>
    <t xml:space="preserve">Rectangular 40 x 60 mm; e = 2,5 mm</t>
  </si>
  <si>
    <t xml:space="preserve">Rectangular 40 x 60 mm; e = 3,2 mm</t>
  </si>
  <si>
    <t xml:space="preserve">Rectangular 40 x 80 mm; e = 1,1 mm</t>
  </si>
  <si>
    <t xml:space="preserve">Rectangular 40 x 80 mm; e = 1,2 mm</t>
  </si>
  <si>
    <t xml:space="preserve">Rectangular 40 x 80 mm; e = 1,6 mm</t>
  </si>
  <si>
    <t xml:space="preserve">Rectangular 40 x 80 mm; e = 2 mm</t>
  </si>
  <si>
    <t xml:space="preserve">Rectangular 40 x 80 mm; e = 2,5 mm</t>
  </si>
  <si>
    <t xml:space="preserve">Rectangular 40 x 80 mm; e = 3,2 mm</t>
  </si>
  <si>
    <t xml:space="preserve">Rectangular 40 x 80 mm; e = 5,16 mm</t>
  </si>
  <si>
    <t xml:space="preserve">Rectangular 50 x 100 mm; e = 1,6 mm</t>
  </si>
  <si>
    <t xml:space="preserve">Rectangular 50 x 100 mm; e = 2 mm</t>
  </si>
  <si>
    <t xml:space="preserve">Rectangular 50 x 100 mm; e = 2,5 mm</t>
  </si>
  <si>
    <t xml:space="preserve">Rectangular 50 x 100 mm; e = 3,2 mm</t>
  </si>
  <si>
    <t xml:space="preserve">Rectangular 50 x 100 mm; e = 5,49 mm</t>
  </si>
  <si>
    <t xml:space="preserve">Rectangular 50 x 150 mm; e = 1,6 mm</t>
  </si>
  <si>
    <t xml:space="preserve">Rectangular 50 x 150 mm; e = 2 mm</t>
  </si>
  <si>
    <t xml:space="preserve">Rectangular 50 x 150 mm; e = 2,5 mm</t>
  </si>
  <si>
    <t xml:space="preserve">Rectangular 50 x 150 mm; e = 3,2 mm</t>
  </si>
  <si>
    <t xml:space="preserve">Rectangular 50 x 150 mm; e = 6,35 mm</t>
  </si>
  <si>
    <t xml:space="preserve">Rectangular 50 x 70 mm; e = 1,1 mm</t>
  </si>
  <si>
    <t xml:space="preserve">Rectangular 50 x 70 mm; e = 1,2 mm</t>
  </si>
  <si>
    <t xml:space="preserve">Rectangular 50 x 70 mm; e = 1,6 mm</t>
  </si>
  <si>
    <t xml:space="preserve">Rectangular 50 x 70 mm; e = 2 mm</t>
  </si>
  <si>
    <t xml:space="preserve">Rectangular 50 x 70 mm; e = 2,5 mm</t>
  </si>
  <si>
    <t xml:space="preserve">Rectangular 50 x 70 mm; e = 3,2 mm</t>
  </si>
  <si>
    <t xml:space="preserve">Rectangular 50 x 70 mm; e = 5,16 mm</t>
  </si>
  <si>
    <t xml:space="preserve">Rectangular 50 x 90 mm; e = 5,49 mm</t>
  </si>
  <si>
    <t xml:space="preserve">Rectangular 60 x 100 mm; e = 1,6 mm</t>
  </si>
  <si>
    <t xml:space="preserve">Rectangular 60 x 100 mm; e = 2 mm</t>
  </si>
  <si>
    <t xml:space="preserve">Rectangular 60 x 100 mm; e = 2,5 mm</t>
  </si>
  <si>
    <t xml:space="preserve">Rectangular 60 x 100 mm; e = 3,2 mm</t>
  </si>
  <si>
    <t xml:space="preserve">Rectangular 60 x 100 mm; e = 6,35 mm</t>
  </si>
  <si>
    <t xml:space="preserve">Rectangular 60 x 120 mm; e = 1,6 mm</t>
  </si>
  <si>
    <t xml:space="preserve">Rectangular 60 x 120 mm; e = 2 mm</t>
  </si>
  <si>
    <t xml:space="preserve">Rectangular 60 x 120 mm; e = 2,5 mm</t>
  </si>
  <si>
    <t xml:space="preserve">Rectangular 60 x 120 mm; e = 3,2 mm</t>
  </si>
  <si>
    <t xml:space="preserve">Rectangular 60 x 120 mm; e = 4 mm</t>
  </si>
  <si>
    <t xml:space="preserve">Rectangular 60 x 120 mm; e = 6,02 mm</t>
  </si>
  <si>
    <t xml:space="preserve">Rectangular 60 x 140 mm; e = 1,6 mm</t>
  </si>
  <si>
    <t xml:space="preserve">Rectangular 60 x 140 mm; e = 2 mm</t>
  </si>
  <si>
    <t xml:space="preserve">Rectangular 60 x 140 mm; e = 2,5 mm</t>
  </si>
  <si>
    <t xml:space="preserve">Rectangular 60 x 140 mm; e = 3,2 mm</t>
  </si>
  <si>
    <t xml:space="preserve">Rectangular 60 x 80 mm; e = 1,2 mm</t>
  </si>
  <si>
    <t xml:space="preserve">Rectangular 60 x 80 mm; e = 1,6 mm</t>
  </si>
  <si>
    <t xml:space="preserve">Rectangular 60 x 80 mm; e = 2 mm</t>
  </si>
  <si>
    <t xml:space="preserve">Rectangular 60 x 80 mm; e = 2,5 mm</t>
  </si>
  <si>
    <t xml:space="preserve">Rectangular 60 x 80 mm; e = 3,2 mm</t>
  </si>
  <si>
    <t xml:space="preserve">Rectangular 60 x 80 mm; e = 3,6 mm</t>
  </si>
  <si>
    <t xml:space="preserve">Rectangular 60 x 80 mm; e = 5,49 mm</t>
  </si>
  <si>
    <t xml:space="preserve">Rectangular 70 x 110 mm; e = 6,02 mm</t>
  </si>
  <si>
    <t xml:space="preserve">Rectangular 70 x 90 mm; e = 6,35 mm</t>
  </si>
  <si>
    <t xml:space="preserve">Rectangular 80 x 100 mm; e = 1,6 mm</t>
  </si>
  <si>
    <t xml:space="preserve">Rectangular 80 x 100 mm; e = 2 mm</t>
  </si>
  <si>
    <t xml:space="preserve">Rectangular 80 x 100 mm; e = 2,5 mm</t>
  </si>
  <si>
    <t xml:space="preserve">Rectangular 80 x 100 mm; e = 3,2 mm</t>
  </si>
  <si>
    <t xml:space="preserve">Rectangular 80 x 100 mm; e = 4 mm</t>
  </si>
  <si>
    <t xml:space="preserve">Rectangular 80 x 100 mm; e = 6,02 mm</t>
  </si>
  <si>
    <t xml:space="preserve">Rectangular 80 x 120 mm; e = 1,6 mm</t>
  </si>
  <si>
    <t xml:space="preserve">Rectangular 80 x 120 mm; e = 2 mm</t>
  </si>
  <si>
    <t xml:space="preserve">Rectangular 80 x 120 mm; e = 2,5 mm</t>
  </si>
  <si>
    <t xml:space="preserve">Rectangular 80 x 120 mm; e = 3,2 mm</t>
  </si>
  <si>
    <t xml:space="preserve">Rectangular 80 x 140 mm; e = 4,78 mm</t>
  </si>
  <si>
    <t xml:space="preserve">Rectangular 80 x 140 mm; e = 6,35 mm</t>
  </si>
  <si>
    <t xml:space="preserve">Rectangular 80 x 160 mm; e = 6,35 mm</t>
  </si>
  <si>
    <t xml:space="preserve">Rectangular 90 x 150 mm; e = 6,35 mm</t>
  </si>
  <si>
    <t xml:space="preserve">Redondo Ø 101,6 mm; e = 1,6 mm</t>
  </si>
  <si>
    <t xml:space="preserve">Redondo Ø 101,6 mm; e = 2 mm</t>
  </si>
  <si>
    <t xml:space="preserve">Redondo Ø 101,6 mm; e = 2,5 mm</t>
  </si>
  <si>
    <t xml:space="preserve">Redondo Ø 101,6 mm; e = 3,2 mm</t>
  </si>
  <si>
    <t xml:space="preserve">Redondo Ø 101,6 mm; e = 6,35 mm</t>
  </si>
  <si>
    <t xml:space="preserve">Redondo Ø 114,3 mm; e = 1,6 mm</t>
  </si>
  <si>
    <t xml:space="preserve">Redondo Ø 114,3 mm; e = 2 mm</t>
  </si>
  <si>
    <t xml:space="preserve">Redondo Ø 114,3 mm; e = 2,5 mm</t>
  </si>
  <si>
    <t xml:space="preserve">Redondo Ø 114,3 mm; e = 3,2 mm</t>
  </si>
  <si>
    <t xml:space="preserve">Redondo Ø 114,3 mm; e = 3,6 mm</t>
  </si>
  <si>
    <t xml:space="preserve">Redondo Ø 114,3 mm; e = 4 mm</t>
  </si>
  <si>
    <t xml:space="preserve">Redondo Ø 114,3 mm; e = 6,02 mm</t>
  </si>
  <si>
    <t xml:space="preserve">Redondo Ø 12,7 mm; e = 0,7 mm</t>
  </si>
  <si>
    <t xml:space="preserve">Redondo Ø 12,7 mm; e = 0,8 mm</t>
  </si>
  <si>
    <t xml:space="preserve">Redondo Ø 12,7 mm; e = 0,9 mm</t>
  </si>
  <si>
    <t xml:space="preserve">Redondo Ø 12,7 mm; e = 1,1 mm</t>
  </si>
  <si>
    <t xml:space="preserve">Redondo Ø 12,7 mm; e = 1,2 mm</t>
  </si>
  <si>
    <t xml:space="preserve">Redondo Ø 12,7 mm; e = 1,4 mm</t>
  </si>
  <si>
    <t xml:space="preserve">Redondo Ø 124 mm; e = 6,35 mm</t>
  </si>
  <si>
    <t xml:space="preserve">Redondo Ø 127 mm; e = 1,6 mm</t>
  </si>
  <si>
    <t xml:space="preserve">Redondo Ø 127 mm; e = 2 mm</t>
  </si>
  <si>
    <t xml:space="preserve">Redondo Ø 127 mm; e = 2,5 mm</t>
  </si>
  <si>
    <t xml:space="preserve">Redondo Ø 127 mm; e = 3,2 mm</t>
  </si>
  <si>
    <t xml:space="preserve">Redondo Ø 140 mm; e = 4,78 mm</t>
  </si>
  <si>
    <t xml:space="preserve">Redondo Ø 140 mm; e = 6,35 mm</t>
  </si>
  <si>
    <t xml:space="preserve">Redondo Ø 146 mm; e = 6,35 mm</t>
  </si>
  <si>
    <t xml:space="preserve">Redondo Ø 15,87 mm; e = 0,7 mm</t>
  </si>
  <si>
    <t xml:space="preserve">Redondo Ø 15,87 mm; e = 0,8 mm</t>
  </si>
  <si>
    <t xml:space="preserve">Redondo Ø 15,87 mm; e = 0,9 mm</t>
  </si>
  <si>
    <t xml:space="preserve">Redondo Ø 15,87 mm; e = 1,1 mm</t>
  </si>
  <si>
    <t xml:space="preserve">Redondo Ø 15,87 mm; e = 1,2 mm</t>
  </si>
  <si>
    <t xml:space="preserve">Redondo Ø 15,87 mm; e = 1,4 mm</t>
  </si>
  <si>
    <t xml:space="preserve">Redondo Ø 15,87 mm; e = 1,6 mm</t>
  </si>
  <si>
    <t xml:space="preserve">Redondo Ø 15,87 mm; e = 2 mm</t>
  </si>
  <si>
    <t xml:space="preserve">Redondo Ø 168 mm; e = 4,78 mm</t>
  </si>
  <si>
    <t xml:space="preserve">Redondo Ø 168 mm; e = 6,35 mm</t>
  </si>
  <si>
    <t xml:space="preserve">Redondo Ø 19,05 mm; e = 0,7 mm</t>
  </si>
  <si>
    <t xml:space="preserve">Redondo Ø 19,05 mm; e = 0,9 mm</t>
  </si>
  <si>
    <t xml:space="preserve">Redondo Ø 19,05 mm; e = 1,1 mm</t>
  </si>
  <si>
    <t xml:space="preserve">Redondo Ø 19,05 mm; e = 1,2 mm</t>
  </si>
  <si>
    <t xml:space="preserve">Redondo Ø 19,05 mm; e = 1,4 mm</t>
  </si>
  <si>
    <t xml:space="preserve">Redondo Ø 19,05 mm; e = 1,6 mm</t>
  </si>
  <si>
    <t xml:space="preserve">Redondo Ø 19,05 mm; e = 2 mm</t>
  </si>
  <si>
    <t xml:space="preserve">Redondo Ø 22,22 mm; e = 0,7 mm</t>
  </si>
  <si>
    <t xml:space="preserve">Redondo Ø 22,22 mm; e = 0,8 mm</t>
  </si>
  <si>
    <t xml:space="preserve">Redondo Ø 22,22 mm; e = 0,9 mm</t>
  </si>
  <si>
    <t xml:space="preserve">Redondo Ø 22,22 mm; e = 1,1 mm</t>
  </si>
  <si>
    <t xml:space="preserve">Redondo Ø 22,22 mm; e = 1,2 mm</t>
  </si>
  <si>
    <t xml:space="preserve">Redondo Ø 22,22 mm; e = 1,4 mm</t>
  </si>
  <si>
    <t xml:space="preserve">Redondo Ø 22,22 mm; e = 1,6 mm</t>
  </si>
  <si>
    <t xml:space="preserve">Redondo Ø 22,22 mm; e = 2 mm</t>
  </si>
  <si>
    <t xml:space="preserve">Redondo Ø 25,4 mm; e = 0,8 mm</t>
  </si>
  <si>
    <t xml:space="preserve">Redondo Ø 25,4 mm; e = 0,9 mm</t>
  </si>
  <si>
    <t xml:space="preserve">Redondo Ø 25,4 mm; e = 1,1 mm</t>
  </si>
  <si>
    <t xml:space="preserve">Redondo Ø 25,4 mm; e = 1,2 mm</t>
  </si>
  <si>
    <t xml:space="preserve">Redondo Ø 25,4 mm; e = 1,4 mm</t>
  </si>
  <si>
    <t xml:space="preserve">Redondo Ø 25,4 mm; e = 1,6 mm</t>
  </si>
  <si>
    <t xml:space="preserve">Redondo Ø 25,4 mm; e = 2 mm</t>
  </si>
  <si>
    <t xml:space="preserve">Redondo Ø 28,57 mm; e = 0,8 mm</t>
  </si>
  <si>
    <t xml:space="preserve">Redondo Ø 28,57 mm; e = 0,9 mm</t>
  </si>
  <si>
    <t xml:space="preserve">Redondo Ø 28,57 mm; e = 1,1 mm</t>
  </si>
  <si>
    <t xml:space="preserve">Redondo Ø 28,57 mm; e = 1,2 mm</t>
  </si>
  <si>
    <t xml:space="preserve">Redondo Ø 28,57 mm; e = 1,4 mm</t>
  </si>
  <si>
    <t xml:space="preserve">Redondo Ø 28,57 mm; e = 1,6 mm</t>
  </si>
  <si>
    <t xml:space="preserve">Redondo Ø 28,57 mm; e = 2 mm</t>
  </si>
  <si>
    <t xml:space="preserve">Redondo Ø 31,75 mm; e = 0,8 mm</t>
  </si>
  <si>
    <t xml:space="preserve">Redondo Ø 31,75 mm; e = 0,9 mm</t>
  </si>
  <si>
    <t xml:space="preserve">Redondo Ø 31,75 mm; e = 1,1 mm</t>
  </si>
  <si>
    <t xml:space="preserve">Redondo Ø 31,75 mm; e = 1,2 mm</t>
  </si>
  <si>
    <t xml:space="preserve">Redondo Ø 31,75 mm; e = 1,4 mm</t>
  </si>
  <si>
    <t xml:space="preserve">Redondo Ø 31,75 mm; e = 1,6 mm</t>
  </si>
  <si>
    <t xml:space="preserve">Redondo Ø 31,75 mm; e = 2 mm</t>
  </si>
  <si>
    <t xml:space="preserve">Redondo Ø 34,92 mm; e = 0,8 mm</t>
  </si>
  <si>
    <t xml:space="preserve">Redondo Ø 34,92 mm; e = 0,9 mm</t>
  </si>
  <si>
    <t xml:space="preserve">Redondo Ø 34,92 mm; e = 1,1 mm</t>
  </si>
  <si>
    <t xml:space="preserve">Redondo Ø 34,92 mm; e = 1,2 mm</t>
  </si>
  <si>
    <t xml:space="preserve">Redondo Ø 34,92 mm; e = 1,4 mm</t>
  </si>
  <si>
    <t xml:space="preserve">Redondo Ø 34,92 mm; e = 1,6 mm</t>
  </si>
  <si>
    <t xml:space="preserve">Redondo Ø 34,92 mm; e = 2 mm</t>
  </si>
  <si>
    <t xml:space="preserve">Redondo Ø 38,1 mm; e = 0,8 mm</t>
  </si>
  <si>
    <t xml:space="preserve">Redondo Ø 38,1 mm; e = 0,9 mm</t>
  </si>
  <si>
    <t xml:space="preserve">Redondo Ø 38,1 mm; e = 1,1 mm</t>
  </si>
  <si>
    <t xml:space="preserve">Redondo Ø 38,1 mm; e = 1,2 mm</t>
  </si>
  <si>
    <t xml:space="preserve">Redondo Ø 38,1 mm; e = 1,4 mm</t>
  </si>
  <si>
    <t xml:space="preserve">Redondo Ø 38,1 mm; e = 1,6 mm</t>
  </si>
  <si>
    <t xml:space="preserve">Redondo Ø 38,1 mm; e = 2 mm</t>
  </si>
  <si>
    <t xml:space="preserve">Redondo Ø 41,27 mm; e = 0,8 mm</t>
  </si>
  <si>
    <t xml:space="preserve">Redondo Ø 41,27 mm; e = 0,9 mm</t>
  </si>
  <si>
    <t xml:space="preserve">Redondo Ø 41,27 mm; e = 1,1 mm</t>
  </si>
  <si>
    <t xml:space="preserve">Redondo Ø 41,27 mm; e = 1,2 mm</t>
  </si>
  <si>
    <t xml:space="preserve">Redondo Ø 41,27 mm; e = 1,4 mm</t>
  </si>
  <si>
    <t xml:space="preserve">Redondo Ø 41,27 mm; e = 1,6 mm</t>
  </si>
  <si>
    <t xml:space="preserve">Redondo Ø 41,27 mm; e = 2 mm</t>
  </si>
  <si>
    <t xml:space="preserve">Redondo Ø 44,45 mm; e = 0,8 mm</t>
  </si>
  <si>
    <t xml:space="preserve">Redondo Ø 44,45 mm; e = 0,9 mm</t>
  </si>
  <si>
    <t xml:space="preserve">Redondo Ø 44,45 mm; e = 1,1 mm</t>
  </si>
  <si>
    <t xml:space="preserve">Redondo Ø 44,45 mm; e = 1,2 mm</t>
  </si>
  <si>
    <t xml:space="preserve">Redondo Ø 44,45 mm; e = 1,4 mm</t>
  </si>
  <si>
    <t xml:space="preserve">Redondo Ø 44,45 mm; e = 1,6 mm</t>
  </si>
  <si>
    <t xml:space="preserve">Redondo Ø 44,45 mm; e = 2 mm</t>
  </si>
  <si>
    <t xml:space="preserve">Redondo Ø 47,62 mm; e = 0,8 mm</t>
  </si>
  <si>
    <t xml:space="preserve">Redondo Ø 47,62 mm; e = 0,9 mm</t>
  </si>
  <si>
    <t xml:space="preserve">Redondo Ø 47,62 mm; e = 1,1 mm</t>
  </si>
  <si>
    <t xml:space="preserve">Redondo Ø 47,62 mm; e = 1,2 mm</t>
  </si>
  <si>
    <t xml:space="preserve">Redondo Ø 47,62 mm; e = 1,4 mm</t>
  </si>
  <si>
    <t xml:space="preserve">Redondo Ø 47,62 mm; e = 1,6 mm</t>
  </si>
  <si>
    <t xml:space="preserve">Redondo Ø 47,62 mm; e = 2 mm</t>
  </si>
  <si>
    <t xml:space="preserve">Redondo Ø 50,8 mm; e = 0,8 mm</t>
  </si>
  <si>
    <t xml:space="preserve">Redondo Ø 50,8 mm; e = 0,9 mm</t>
  </si>
  <si>
    <t xml:space="preserve">Redondo Ø 50,8 mm; e = 1,1 mm</t>
  </si>
  <si>
    <t xml:space="preserve">Redondo Ø 50,8 mm; e = 1,2 mm</t>
  </si>
  <si>
    <t xml:space="preserve">Redondo Ø 50,8 mm; e = 1,4 mm</t>
  </si>
  <si>
    <t xml:space="preserve">Redondo Ø 50,8 mm; e = 1,6 mm</t>
  </si>
  <si>
    <t xml:space="preserve">Redondo Ø 50,8 mm; e = 2 mm</t>
  </si>
  <si>
    <t xml:space="preserve">Redondo Ø 50,8 mm; e = 2,5 mm</t>
  </si>
  <si>
    <t xml:space="preserve">Redondo Ø 50,8 mm; e = 3,2 mm</t>
  </si>
  <si>
    <t xml:space="preserve">Redondo Ø 53,97 mm; e = 0,9 mm</t>
  </si>
  <si>
    <t xml:space="preserve">Redondo Ø 53,97 mm; e = 1,1 mm</t>
  </si>
  <si>
    <t xml:space="preserve">Redondo Ø 53,97 mm; e = 1,2 mm</t>
  </si>
  <si>
    <t xml:space="preserve">Redondo Ø 53,97 mm; e = 1,4 mm</t>
  </si>
  <si>
    <t xml:space="preserve">Redondo Ø 53,97 mm; e = 1,6 mm</t>
  </si>
  <si>
    <t xml:space="preserve">Redondo Ø 53,97 mm; e = 2 mm</t>
  </si>
  <si>
    <t xml:space="preserve">Redondo Ø 57,15 mm; e = 0,9 mm</t>
  </si>
  <si>
    <t xml:space="preserve">Redondo Ø 57,15 mm; e = 1,1 mm</t>
  </si>
  <si>
    <t xml:space="preserve">Redondo Ø 57,15 mm; e = 1,2 mm</t>
  </si>
  <si>
    <t xml:space="preserve">Redondo Ø 57,15 mm; e = 1,4 mm</t>
  </si>
  <si>
    <t xml:space="preserve">Redondo Ø 57,15 mm; e = 1,6 mm</t>
  </si>
  <si>
    <t xml:space="preserve">Redondo Ø 57,15 mm; e = 2 mm</t>
  </si>
  <si>
    <t xml:space="preserve">Redondo Ø 57,15 mm; e = 2,5 mm</t>
  </si>
  <si>
    <t xml:space="preserve">Redondo Ø 57,15 mm; e = 3,2 mm</t>
  </si>
  <si>
    <t xml:space="preserve">Redondo Ø 60,32 mm; e = 1,6 mm</t>
  </si>
  <si>
    <t xml:space="preserve">Redondo Ø 60,32 mm; e = 2 mm</t>
  </si>
  <si>
    <t xml:space="preserve">Redondo Ø 60,32 mm; e = 2,85 mm</t>
  </si>
  <si>
    <t xml:space="preserve">Redondo Ø 60,32 mm; e = 3,2 mm</t>
  </si>
  <si>
    <t xml:space="preserve">Redondo Ø 63,5 mm; e = 1,4 mm</t>
  </si>
  <si>
    <t xml:space="preserve">Redondo Ø 63,5 mm; e = 1,6 mm</t>
  </si>
  <si>
    <t xml:space="preserve">Redondo Ø 73 mm; e = 5,16 mm</t>
  </si>
  <si>
    <t xml:space="preserve">Redondo Ø 76,2 mm; e = 0,9 mm</t>
  </si>
  <si>
    <t xml:space="preserve">Redondo Ø 76,2 mm; e = 1,1 mm</t>
  </si>
  <si>
    <t xml:space="preserve">Redondo Ø 76,2 mm; e = 1,2 mm</t>
  </si>
  <si>
    <t xml:space="preserve">Redondo Ø 76,2 mm; e = 1,4 mm</t>
  </si>
  <si>
    <t xml:space="preserve">Redondo Ø 76,2 mm; e = 1,6 mm</t>
  </si>
  <si>
    <t xml:space="preserve">Redondo Ø 76,2 mm; e = 2 mm</t>
  </si>
  <si>
    <t xml:space="preserve">Redondo Ø 76,2 mm; e = 2,5 mm</t>
  </si>
  <si>
    <t xml:space="preserve">Redondo Ø 76,2 mm; e = 2,85 mm</t>
  </si>
  <si>
    <t xml:space="preserve">Redondo Ø 76,2 mm; e = 3,2 mm</t>
  </si>
  <si>
    <t xml:space="preserve">Redondo Ø 88,9 mm; e = 1,2 mm</t>
  </si>
  <si>
    <t xml:space="preserve">Redondo Ø 88,9 mm; e = 1,4 mm</t>
  </si>
  <si>
    <t xml:space="preserve">Redondo Ø 88,9 mm; e = 1,6 mm</t>
  </si>
  <si>
    <t xml:space="preserve">Redondo Ø 88,9 mm; e = 2 mm</t>
  </si>
  <si>
    <t xml:space="preserve">Redondo Ø 88,9 mm; e = 2,5 mm</t>
  </si>
  <si>
    <t xml:space="preserve">Redondo Ø 88,9 mm; e = 3,2 mm</t>
  </si>
  <si>
    <t xml:space="preserve">Redondo Ø 88,9 mm; e = 3,6 mm</t>
  </si>
  <si>
    <t xml:space="preserve">Redondo Ø 88,9 mm; e = 5,49 mm</t>
  </si>
  <si>
    <t xml:space="preserve">Redondo Ø 95,22 mm; e = 1,6 mm</t>
  </si>
  <si>
    <t xml:space="preserve">Redondo Ø 95,22 mm; e = 2 mm</t>
  </si>
  <si>
    <t xml:space="preserve">Redondo Ø 95,22 mm; e = 2,5 mm</t>
  </si>
  <si>
    <t xml:space="preserve">Redondo Ø 95,22 mm; e = 3,2 mm</t>
  </si>
  <si>
    <t xml:space="preserve">TABLAS SÍSMICAS – INPRES-CIRSOC 103 Parte I (2013, con Adenda 2018) y Parte III</t>
  </si>
  <si>
    <t xml:space="preserve">Tablas 3.1 (Ca, Cv), 3.2 (T3), 3.3 (f1), 5.1 (R, Cd, Ωo), 6.2 (Cr, x) y grupos de construcción (γr). Los valores de R, Cd y Ωo fueron transcriptos de la planilla original: verificar con la Tabla 5.1 vigente.</t>
  </si>
  <si>
    <t xml:space="preserve">Tabla 5.1 – Factor de reducción R, Cd y Ωo</t>
  </si>
  <si>
    <t xml:space="preserve">Zona sísmica: as, T3 y coeficientes espectrales por tipo de suelo (Tablas 3.1 y 3.2)</t>
  </si>
  <si>
    <t xml:space="preserve">Sistema estructural</t>
  </si>
  <si>
    <t xml:space="preserve">R</t>
  </si>
  <si>
    <t xml:space="preserve">Cd</t>
  </si>
  <si>
    <t xml:space="preserve">Ωo</t>
  </si>
  <si>
    <t xml:space="preserve">Zona</t>
  </si>
  <si>
    <t xml:space="preserve">as [g]</t>
  </si>
  <si>
    <t xml:space="preserve">T3 [s]</t>
  </si>
  <si>
    <t xml:space="preserve">Ca tipo 1</t>
  </si>
  <si>
    <t xml:space="preserve">Cv tipo 1</t>
  </si>
  <si>
    <t xml:space="preserve">Ca tipo 2</t>
  </si>
  <si>
    <t xml:space="preserve">Cv tipo 2</t>
  </si>
  <si>
    <t xml:space="preserve">Ca tipo 3</t>
  </si>
  <si>
    <t xml:space="preserve">Cv tipo 3</t>
  </si>
  <si>
    <t xml:space="preserve">1 - Tabiques aislados y acoplados</t>
  </si>
  <si>
    <t xml:space="preserve">2 - Pórticos con ductilidad completa</t>
  </si>
  <si>
    <t xml:space="preserve">3 - Sistema dual Pórtico-Tabique</t>
  </si>
  <si>
    <t xml:space="preserve">4 - Estructuras con diagonales concéntricas</t>
  </si>
  <si>
    <t xml:space="preserve">5 - Estructuras rigidizadas con diagonales excéntricas</t>
  </si>
  <si>
    <t xml:space="preserve">En zonas 3 y 4 Ca se multiplica por Na y Cv por Nv (Na = 1,0 y Nv = 1,2 salvo sitios próximos a fallas). Tipo espectral: 1 = suelos SA, SB, SC · 2 = SD · 3 = SE.</t>
  </si>
  <si>
    <t xml:space="preserve">6 - Columnas en voladizo</t>
  </si>
  <si>
    <t xml:space="preserve">7 - Estructura con ductilidad limitada</t>
  </si>
  <si>
    <t xml:space="preserve">Ca y Cv por zona y tipo espectral (para búsqueda)</t>
  </si>
  <si>
    <t xml:space="preserve">Clave</t>
  </si>
  <si>
    <t xml:space="preserve">Ca</t>
  </si>
  <si>
    <t xml:space="preserve">Cv</t>
  </si>
  <si>
    <t xml:space="preserve">9 - Encadenada armada (ladrillo macizo)</t>
  </si>
  <si>
    <t xml:space="preserve">10 - Reforzada con armadura distribuida (ladrillo macizo)</t>
  </si>
  <si>
    <t xml:space="preserve">11 - Sin encadenados (ladrillo macizo)</t>
  </si>
  <si>
    <t xml:space="preserve">12 - Encadenada simple (bloque cerámico)</t>
  </si>
  <si>
    <t xml:space="preserve">13 - Encadenada armada (bloque cerámico)</t>
  </si>
  <si>
    <t xml:space="preserve">14 - Reforzada con armadura distribuida (bloque cerámico)</t>
  </si>
  <si>
    <t xml:space="preserve">15 - Encadenada simple (bloque de hormigón)</t>
  </si>
  <si>
    <t xml:space="preserve">16 - Encadenada armada (bloque de hormigón)</t>
  </si>
  <si>
    <t xml:space="preserve">17 - Reforzada con armadura distribuida (bloque de hormigón)</t>
  </si>
  <si>
    <t xml:space="preserve">18 - Especiales</t>
  </si>
  <si>
    <t xml:space="preserve">19 - Intermedios</t>
  </si>
  <si>
    <t xml:space="preserve">20 - Convencionales</t>
  </si>
  <si>
    <t xml:space="preserve">21 - Con vigas reticuladas</t>
  </si>
  <si>
    <t xml:space="preserve">22 - Especiales arriostrados concéntricamente</t>
  </si>
  <si>
    <t xml:space="preserve">23 - Convencionales arriostrados concéntricamente</t>
  </si>
  <si>
    <t xml:space="preserve">Tabla 6.1 – Coeficiente Cu (límite del período)</t>
  </si>
  <si>
    <t xml:space="preserve">24 - Arriostrados excéntricamente</t>
  </si>
  <si>
    <t xml:space="preserve">Cu</t>
  </si>
  <si>
    <t xml:space="preserve">25 - Pórticos especiales arriostrados concéntricamente</t>
  </si>
  <si>
    <t xml:space="preserve">26 - Pórticos convencionales arriostrados concéntricamente</t>
  </si>
  <si>
    <t xml:space="preserve">27 - Pórticos arriostrados excéntricamente</t>
  </si>
  <si>
    <t xml:space="preserve">28 - Pórticos especiales arriostrados concéntricamente</t>
  </si>
  <si>
    <t xml:space="preserve">29 - Pórticos convencionales arriostrados concéntricamente</t>
  </si>
  <si>
    <t xml:space="preserve">30 - Columnas en voladizo</t>
  </si>
  <si>
    <t xml:space="preserve">31 - Paneles</t>
  </si>
  <si>
    <t xml:space="preserve">Tabla 6.2 – Período aproximado Ta = Cr·H^x (H en m)</t>
  </si>
  <si>
    <t xml:space="preserve">32 - Pórticos</t>
  </si>
  <si>
    <t xml:space="preserve">Sistema</t>
  </si>
  <si>
    <t xml:space="preserve">Cr</t>
  </si>
  <si>
    <t xml:space="preserve">x</t>
  </si>
  <si>
    <t xml:space="preserve">33 - Estructuras con tornapuntas</t>
  </si>
  <si>
    <t xml:space="preserve">Pórticos de H°A° (resisten el 100% del corte)</t>
  </si>
  <si>
    <t xml:space="preserve">34 - Columnas en voladizo</t>
  </si>
  <si>
    <t xml:space="preserve">Pórticos de acero (resisten el 100% del corte)</t>
  </si>
  <si>
    <t xml:space="preserve">35 - Pórticos con diagonales excéntricas</t>
  </si>
  <si>
    <t xml:space="preserve">Pórticos de acero con diagonales excéntricas</t>
  </si>
  <si>
    <t xml:space="preserve">36 - Pórticos con diagonales concéntricas</t>
  </si>
  <si>
    <t xml:space="preserve">Ítem 1 (tabiques): R = (3A+5)/z, con 5/z ≤ R ≤ 7, z = 2,5 − 0,5·Ar entre 1,0 y 2,0 (A = grado de acoplamiento; Ar = hw/Lw). Se calcula en la hoja Sismo 1.</t>
  </si>
  <si>
    <t xml:space="preserve">Grupo de la construcción – factor de riesgo γr</t>
  </si>
  <si>
    <t xml:space="preserve">γr</t>
  </si>
  <si>
    <t xml:space="preserve">Grupo A₀</t>
  </si>
  <si>
    <t xml:space="preserve">Grupo A</t>
  </si>
  <si>
    <t xml:space="preserve">Grupo C</t>
  </si>
  <si>
    <t xml:space="preserve">Tabla 3.3 – Factor f1 de sobrecarga en la masa sísmica</t>
  </si>
  <si>
    <t xml:space="preserve">Viviendas, oficinas, hoteles</t>
  </si>
  <si>
    <t xml:space="preserve">Locales con aglomeración habitual</t>
  </si>
  <si>
    <t xml:space="preserve">Tanques de agua, silos</t>
  </si>
  <si>
    <t xml:space="preserve">REGISTRO DE CORRECCIONES Y CAMBIOS RESPECTO DE LA PLANILLA ORIGINAL</t>
  </si>
  <si>
    <t xml:space="preserve">Cada error detectado en 'PROYECTO_DE_CALCULO.xlsx' y cómo se resolvió. Gravedad: Alta = podía llevar a resultados inseguros o inválidos · Media = resultado incorrecto o fuente de error · Baja = orden y claridad.</t>
  </si>
  <si>
    <t xml:space="preserve">Gravedad</t>
  </si>
  <si>
    <t xml:space="preserve">Hoja original</t>
  </si>
  <si>
    <t xml:space="preserve">Celda(s)</t>
  </si>
  <si>
    <t xml:space="preserve">Problema detectado</t>
  </si>
  <si>
    <t xml:space="preserve">Corrección en la planilla unificada</t>
  </si>
  <si>
    <t xml:space="preserve">Referencia</t>
  </si>
  <si>
    <t xml:space="preserve">Alta</t>
  </si>
  <si>
    <t xml:space="preserve">solicitacion de vigas hormigon</t>
  </si>
  <si>
    <t xml:space="preserve">E14</t>
  </si>
  <si>
    <t xml:space="preserve">El peso unitario del hormigón se leía de la clase (H-20 → 20 kN/m³, H-30 → 30 kN/m³): se usaba f'c como peso específico.</t>
  </si>
  <si>
    <t xml:space="preserve">γ H°A° = 25 kN/m³ fijo en Datos (CIRSOC 101 Tabla 3.1), igual para todas las hojas.</t>
  </si>
  <si>
    <t xml:space="preserve">CIRSOC 101</t>
  </si>
  <si>
    <t xml:space="preserve">H14</t>
  </si>
  <si>
    <t xml:space="preserve">El peso propio de la viga se sumaba SIN mayorar a cargas ya mayoradas.</t>
  </si>
  <si>
    <t xml:space="preserve">qu = reacción de losas + máx(1,4·D; 1,2·D + 1,6·L) con D incluyendo el peso propio.</t>
  </si>
  <si>
    <t xml:space="preserve">CIRSOC 201 §9.2</t>
  </si>
  <si>
    <t xml:space="preserve">vigueta</t>
  </si>
  <si>
    <t xml:space="preserve">N17:N26</t>
  </si>
  <si>
    <t xml:space="preserve">M admisible = 5,61 + valor de la serie: la fórmula sumaba siempre 5,61 kNm (sobrestimaba la resistencia de las viguetas).</t>
  </si>
  <si>
    <t xml:space="preserve">M adm = valor de la serie (tabla del fabricante). Selector de cargas de servicio o mayoradas.</t>
  </si>
  <si>
    <t xml:space="preserve">Catálogo del fabricante</t>
  </si>
  <si>
    <t xml:space="preserve">correas de madera</t>
  </si>
  <si>
    <t xml:space="preserve">M12</t>
  </si>
  <si>
    <t xml:space="preserve">Flecha mal calculada: separación aplicada dos veces, E en MPa con q en kN/m y factor 100 arbitrario (resultado ≈ 50 veces mayor que el real en el ejemplo).</t>
  </si>
  <si>
    <t xml:space="preserve">δ = 5·q·cosα·L⁴/(384·E·I) con E en kN/m²; verificación con cargas de servicio.</t>
  </si>
  <si>
    <t xml:space="preserve">Mecánica estructural</t>
  </si>
  <si>
    <t xml:space="preserve">Media</t>
  </si>
  <si>
    <t xml:space="preserve">G9</t>
  </si>
  <si>
    <t xml:space="preserve">Las tensiones admisibles se comparaban con cargas mayoradas (la madera se verifica con cargas de servicio).</t>
  </si>
  <si>
    <t xml:space="preserve">q = (D + L + Lr)·separación + peso propio, sin mayorar.</t>
  </si>
  <si>
    <t xml:space="preserve">CIRSOC 601</t>
  </si>
  <si>
    <t xml:space="preserve">Armadura de Columnas</t>
  </si>
  <si>
    <t xml:space="preserve">U11</t>
  </si>
  <si>
    <t xml:space="preserve">El parámetro m = Mn/(f'c·Ag·b) usaba el ancho b y no h (inconsistente con γ = (h − 2d')/h).</t>
  </si>
  <si>
    <t xml:space="preserve">Se reemplaza la lectura de ábacos por un diagrama de interacción calculado para cada columna (hoja Interaccion).</t>
  </si>
  <si>
    <t xml:space="preserve">CIRSOC 201 §10.2–10.3</t>
  </si>
  <si>
    <t xml:space="preserve">V11</t>
  </si>
  <si>
    <t xml:space="preserve">La cuantía ρg estaba tipeada a mano ('de tabla') y la verificación quedaba abierta.</t>
  </si>
  <si>
    <t xml:space="preserve">Se verifica la armadura adoptada: φPn,máx, φMn(Pu), cuantía 1%–8%, esbeltez y estribos.</t>
  </si>
  <si>
    <t xml:space="preserve">CIRSOC 201 §10.9</t>
  </si>
  <si>
    <t xml:space="preserve">L11, AE11</t>
  </si>
  <si>
    <t xml:space="preserve">Peso del H°A° = 24 kN/m³ (otras hojas 25), altura 2,7 m fija y π = 3,14.</t>
  </si>
  <si>
    <t xml:space="preserve">γ = 25 kN/m³, altura libre por columna y π exacto.</t>
  </si>
  <si>
    <t xml:space="preserve">estribos</t>
  </si>
  <si>
    <t xml:space="preserve">Separación de estribos ≤ 12·db (criterio no previsto en el reglamento).</t>
  </si>
  <si>
    <t xml:space="preserve">s ≤ mín(16·db; 48·dbe; menor dimensión). Detallado sísmico: verificar cap. 21.</t>
  </si>
  <si>
    <t xml:space="preserve">CIRSOC 201 §7.10.5.2</t>
  </si>
  <si>
    <t xml:space="preserve">diagrama iteraccion-control</t>
  </si>
  <si>
    <t xml:space="preserve">toda la hoja</t>
  </si>
  <si>
    <t xml:space="preserve">Hoja de borrador con puntos del diagrama tipeados a mano.</t>
  </si>
  <si>
    <t xml:space="preserve">Diagrama P–M calculado por compatibilidad de deformaciones, con gráfico.</t>
  </si>
  <si>
    <t xml:space="preserve">CIRSOC 201 §9.3 y §10.2</t>
  </si>
  <si>
    <t xml:space="preserve">analisis de carga / solicitacion de losa</t>
  </si>
  <si>
    <t xml:space="preserve">BUSCARV</t>
  </si>
  <si>
    <t xml:space="preserve">Los rangos de búsqueda no estaban fijos ($): al copiar hacia abajo se desplazaban y fallaban materiales (valor no disponible).</t>
  </si>
  <si>
    <t xml:space="preserve">Búsqueda con INDEX/MATCH sobre listas con nombre (rangos fijos) y materiales elegidos de una lista desplegable.</t>
  </si>
  <si>
    <t xml:space="preserve">analisis de carga</t>
  </si>
  <si>
    <t xml:space="preserve">K21</t>
  </si>
  <si>
    <t xml:space="preserve">El total sumaba un rango que mezclaba columnas (K4:N19).</t>
  </si>
  <si>
    <t xml:space="preserve">Totales por nivel (TECHO y ENTREPISO) por columna correcta.</t>
  </si>
  <si>
    <t xml:space="preserve">J..</t>
  </si>
  <si>
    <t xml:space="preserve">Solo 2 combinaciones (1,4D y 1,2D+1,6L): faltaba el caso de techos (1,2D + 1,6Lr + fL·L).</t>
  </si>
  <si>
    <t xml:space="preserve">Combinaciones 9-1, 9-2 y 9-3 de CIRSOC 201 §9.2 (viento y nieve: indicadas como pendientes).</t>
  </si>
  <si>
    <t xml:space="preserve">solicitacion de losa</t>
  </si>
  <si>
    <t xml:space="preserve">Qu ext / Qu cen</t>
  </si>
  <si>
    <t xml:space="preserve">Se rotulaban 'Qu' valores que en realidad son reacciones (0,425·qL y 1,15·qL).</t>
  </si>
  <si>
    <t xml:space="preserve">Se separan: Vu de diseño (1,15·qL/2) y reacciones sobre vigas.</t>
  </si>
  <si>
    <t xml:space="preserve">CIRSOC 201 §8.3.3</t>
  </si>
  <si>
    <t xml:space="preserve">coeficiente sismico</t>
  </si>
  <si>
    <t xml:space="preserve">AP100</t>
  </si>
  <si>
    <t xml:space="preserve">C mínimo de zonas 3 y 4 sin el factor de riesgo γr (inseguro para Grupo A y A₀).</t>
  </si>
  <si>
    <t xml:space="preserve">C mín. = 0,8·as·Nv·γr/R.</t>
  </si>
  <si>
    <t xml:space="preserve">INPRES-CIRSOC 103-I Ec. 6.5</t>
  </si>
  <si>
    <t xml:space="preserve">coeficiente sismico / Distribución FS / Columnas al Vuelco</t>
  </si>
  <si>
    <t xml:space="preserve">datos repetidos</t>
  </si>
  <si>
    <t xml:space="preserve">Los datos sísmicos (zona, Ca, Cv, R, H) estaban repetidos en 3 hojas y con valores distintos, y convivían el Código de Mendoza y el CIRSOC 103.</t>
  </si>
  <si>
    <t xml:space="preserve">Un único juego de datos sísmicos (hoja Sismo 1) según INPRES-CIRSOC 103 Parte I.</t>
  </si>
  <si>
    <t xml:space="preserve">INPRES-CIRSOC 103</t>
  </si>
  <si>
    <t xml:space="preserve">Baja</t>
  </si>
  <si>
    <t xml:space="preserve">BL..</t>
  </si>
  <si>
    <t xml:space="preserve">Tabla 5.1 con números guardados como texto ('5,5').</t>
  </si>
  <si>
    <t xml:space="preserve">Valores numéricos; tabla en hoja Tablas Sismo.</t>
  </si>
  <si>
    <t xml:space="preserve">coeficiente sismico / otras</t>
  </si>
  <si>
    <t xml:space="preserve">AQ88 y vínculos</t>
  </si>
  <si>
    <t xml:space="preserve">Vínculos externos a otros 3 libros (PROYECTO METALICAS, etc.): dependencia de archivos ajenos.</t>
  </si>
  <si>
    <t xml:space="preserve">Eliminados; el libro es autónomo.</t>
  </si>
  <si>
    <t xml:space="preserve">Peso Estructura</t>
  </si>
  <si>
    <t xml:space="preserve">J5:K5</t>
  </si>
  <si>
    <t xml:space="preserve">La fila 5 multiplicaba dos veces por la altura y omitía la longitud; el resto de las filas usaba otra fórmula.</t>
  </si>
  <si>
    <t xml:space="preserve">Pesos de muros con una única fórmula W = L·e·h·γ por piso, repartida a los niveles.</t>
  </si>
  <si>
    <t xml:space="preserve">INPRES-CIRSOC 103-I Art. 3.6</t>
  </si>
  <si>
    <t xml:space="preserve">Distribución FS</t>
  </si>
  <si>
    <t xml:space="preserve">D16</t>
  </si>
  <si>
    <t xml:space="preserve">El peso W se tomaba de una celda vacía ('Peso Estructura'!N36): el corte basal resultaba siempre 0.</t>
  </si>
  <si>
    <t xml:space="preserve">V0 = C·W con W = suma de los pesos por nivel (Sismo 1).</t>
  </si>
  <si>
    <t xml:space="preserve">Centros de M y R</t>
  </si>
  <si>
    <t xml:space="preserve">D34, D43</t>
  </si>
  <si>
    <t xml:space="preserve">BUSCARV sin 'FALSO' sobre una lista desordenada: a los pórticos de H°A° les asignaba E de la mampostería (169.500 en lugar de 2.000.000 t/m²).</t>
  </si>
  <si>
    <t xml:space="preserve">E según el tipo de elemento, con coincidencia exacta (Em de mampostería; Ec = 4700·√f'c).</t>
  </si>
  <si>
    <t xml:space="preserve">M27</t>
  </si>
  <si>
    <t xml:space="preserve">R = 3EJ/h³ + 1,2h/(G·A): se sumaban una rigidez y una flexibilidad (unidades incompatibles).</t>
  </si>
  <si>
    <t xml:space="preserve">R = 1/( h³/(3·E·Ie) + 1,2·h/(G·Ae) ).</t>
  </si>
  <si>
    <t xml:space="preserve">L27</t>
  </si>
  <si>
    <t xml:space="preserve">G = 0,4·E para mampostería.</t>
  </si>
  <si>
    <t xml:space="preserve">Gm = 0,20·Em (ladrillo macizo) o 0,10·Em (bloques huecos).</t>
  </si>
  <si>
    <t xml:space="preserve">INPRES-CIRSOC 103-III Art. 2.4.2</t>
  </si>
  <si>
    <t xml:space="preserve">varias</t>
  </si>
  <si>
    <t xml:space="preserve">Ie y Ae inconsistentes entre filas (0,4/0,6 y 0,45/0,8).</t>
  </si>
  <si>
    <t xml:space="preserve">Ie = 0,4·Ig y Ae = 0,6·Ag para todos.</t>
  </si>
  <si>
    <t xml:space="preserve">INPRES-CIRSOC 103-III Art. 1.5</t>
  </si>
  <si>
    <t xml:space="preserve">R39:R46</t>
  </si>
  <si>
    <t xml:space="preserve">En la dirección Y una fila sumaba la columna de otro caso de torsión; en general se usaba un único caso (el más cómodo).</t>
  </si>
  <si>
    <t xml:space="preserve">V total = V directo + máx(0; Ft caso 1; Ft caso 2) en todos los elementos.</t>
  </si>
  <si>
    <t xml:space="preserve">INPRES-CIRSOC 103-I Art. 6.2.4</t>
  </si>
  <si>
    <t xml:space="preserve">ex1, ey1</t>
  </si>
  <si>
    <t xml:space="preserve">Excentricidad accidental fija de 5%.</t>
  </si>
  <si>
    <t xml:space="preserve">Selector según la Tabla 6.3 (0 %, 5 % o 10 %).</t>
  </si>
  <si>
    <t xml:space="preserve">INPRES-CIRSOC 103-I Tabla 6.3</t>
  </si>
  <si>
    <t xml:space="preserve">Cálculo de Muros</t>
  </si>
  <si>
    <t xml:space="preserve">L6, L7</t>
  </si>
  <si>
    <t xml:space="preserve">Conversión de tonelada a kN dividiendo por 9,8 (debe multiplicarse por 9,81): error de ≈ 96 veces en el corte.</t>
  </si>
  <si>
    <t xml:space="preserve">Todas las fuerzas se calculan en kN desde el inicio.</t>
  </si>
  <si>
    <t xml:space="preserve">T23, Q23, R23</t>
  </si>
  <si>
    <t xml:space="preserve">Se dividía dos veces por 1000 la suma de resistencias, se mezclaban cm y mm y no se aplicaba φ.</t>
  </si>
  <si>
    <t xml:space="preserve">Vn = (f'v + 0,40·fo)·Ag ≤ 2·f'v·Ag, φ = 0,80 (mampostería); tabiques: Vc + Vs con φ = 0,75.</t>
  </si>
  <si>
    <t xml:space="preserve">INPRES-CIRSOC 103-III; CIRSOC 201 §11.10</t>
  </si>
  <si>
    <t xml:space="preserve">C7:C10, D25</t>
  </si>
  <si>
    <t xml:space="preserve">Referencias a la columna equivocada (módulo E en lugar del nombre) y a la fila de un pórtico en lugar de la del muro.</t>
  </si>
  <si>
    <t xml:space="preserve">Cada elemento se vincula directamente con su fila de la hoja Sismo 2.</t>
  </si>
  <si>
    <t xml:space="preserve">Columnas al Vuelco</t>
  </si>
  <si>
    <t xml:space="preserve">Mc</t>
  </si>
  <si>
    <t xml:space="preserve">Capacidad Mc = As·fy·d sin φ ni brazo de palanca real (sobrestima ≈ 25 %) y kgf·m → kN·m dividiendo por 100.</t>
  </si>
  <si>
    <t xml:space="preserve">φMn = 0,9·As·fy·(d − a/2); fuerzas en kN.</t>
  </si>
  <si>
    <t xml:space="preserve">CIRSOC 201 §10.2</t>
  </si>
  <si>
    <t xml:space="preserve">Cp</t>
  </si>
  <si>
    <t xml:space="preserve">Fuerza sobre componentes sin límites mínimo/máximo.</t>
  </si>
  <si>
    <t xml:space="preserve">Se mantiene la fórmula con la advertencia de verificar ap, Rp y límites (Cap. 10).</t>
  </si>
  <si>
    <t xml:space="preserve">INPRES-CIRSOC 103-I Cap. 10</t>
  </si>
  <si>
    <t xml:space="preserve">Bases</t>
  </si>
  <si>
    <t xml:space="preserve">C30:C34, O14</t>
  </si>
  <si>
    <t xml:space="preserve">Referencias rotas (altura de la base), relación a/b = L/L, ángulo negativo y sin verificación de corte ni punzonado.</t>
  </si>
  <si>
    <t xml:space="preserve">Diseño completo: tensión del suelo, flexión, corte en una dirección y punzonado.</t>
  </si>
  <si>
    <t xml:space="preserve">CIRSOC 201 cap. 15 y §11.12</t>
  </si>
  <si>
    <t xml:space="preserve">mn5</t>
  </si>
  <si>
    <t xml:space="preserve">Coeficiente mn5 = 0,2678 tipeado (depende de f'c y fy).</t>
  </si>
  <si>
    <t xml:space="preserve">As por ρ = 0,85·f'c/fy·(1 − √(1 − 2Rn/(0,85·f'c))).</t>
  </si>
  <si>
    <t xml:space="preserve">CIRSOC 201 cap. 10</t>
  </si>
  <si>
    <t xml:space="preserve">Cimientos</t>
  </si>
  <si>
    <t xml:space="preserve">σ</t>
  </si>
  <si>
    <t xml:space="preserve">σ admisible tipeado dentro de la hoja (0,8 kgf/cm²).</t>
  </si>
  <si>
    <t xml:space="preserve">σ admisible único en la hoja Datos.</t>
  </si>
  <si>
    <t xml:space="preserve">todas</t>
  </si>
  <si>
    <t xml:space="preserve">unidades</t>
  </si>
  <si>
    <t xml:space="preserve">Mezcla de kg, tn, kN, kgf/cm², cm y m en las mismas hojas.</t>
  </si>
  <si>
    <t xml:space="preserve">Unidades SI en todo el libro (kN, m, MPa, kPa); cm/mm solo para secciones y armaduras, rotulado en cada columna.</t>
  </si>
  <si>
    <t xml:space="preserve">IC 101 / materiales</t>
  </si>
  <si>
    <t xml:space="preserve">tablas</t>
  </si>
  <si>
    <t xml:space="preserve">Tablas de CIRSOC 101, perfiles y madera con filas de encabezado dentro de la lista y nombres repetidos.</t>
  </si>
  <si>
    <t xml:space="preserve">Tablas limpias, sin duplicados, en hojas 'Tablas' y 'Tablas Sismo'.</t>
  </si>
  <si>
    <t xml:space="preserve">formato</t>
  </si>
  <si>
    <t xml:space="preserve">Cada hoja con un formato distinto, datos y fórmulas mezclados, celdas combinadas, 20 hojas.</t>
  </si>
  <si>
    <t xml:space="preserve">Formato único: celdas amarillas = datos, blancas = fórmulas, verde = vínculos; verificaciones con CUMPLE / NO CUMPLE; 17 hojas.</t>
  </si>
  <si>
    <t xml:space="preserve">Agregado</t>
  </si>
  <si>
    <t xml:space="preserve">(nuevo)</t>
  </si>
  <si>
    <t xml:space="preserve">La planilla original solo calculaba solicitaciones de losa.</t>
  </si>
  <si>
    <t xml:space="preserve">Se agregan: espesor mínimo, armadura de tramo y apoyo, corte y armadura de reparto.</t>
  </si>
  <si>
    <t xml:space="preserve">CIRSOC 201 cap. 7–10</t>
  </si>
  <si>
    <t xml:space="preserve">Solo había solicitaciones o un diseño muy extenso en una hoja de 200 columnas.</t>
  </si>
  <si>
    <t xml:space="preserve">Diseño a flexión y a corte con verificaciones y separación de barras.</t>
  </si>
  <si>
    <t xml:space="preserve">CIRSOC 201 cap. 10–11</t>
  </si>
  <si>
    <t xml:space="preserve">No había tablero de control.</t>
  </si>
  <si>
    <t xml:space="preserve">Hoja Resumen con el estado de cada módulo.</t>
  </si>
  <si>
    <t xml:space="preserve">Pendiente</t>
  </si>
  <si>
    <t xml:space="preserve">Incrementos Sísmicos</t>
  </si>
  <si>
    <t xml:space="preserve">No se migró: usaba tensiones admisibles (kgf/cm²) y T = M/L1.</t>
  </si>
  <si>
    <t xml:space="preserve">Dimensionar columnas/vigas de encadenado según INPRES-CIRSOC 103 Parte III Art. 4.5 y elementos de borde de tabiques según Parte II.</t>
  </si>
  <si>
    <t xml:space="preserve">INPRES-CIRSOC 103-II y III</t>
  </si>
</sst>
</file>

<file path=xl/styles.xml><?xml version="1.0" encoding="utf-8"?>
<styleSheet xmlns="http://schemas.openxmlformats.org/spreadsheetml/2006/main">
  <numFmts count="12">
    <numFmt numFmtId="164" formatCode="General"/>
    <numFmt numFmtId="165" formatCode="0"/>
    <numFmt numFmtId="166" formatCode="0.00"/>
    <numFmt numFmtId="167" formatCode="#,##0"/>
    <numFmt numFmtId="168" formatCode="0.00;\-0.00;\–"/>
    <numFmt numFmtId="169" formatCode="0.000"/>
    <numFmt numFmtId="170" formatCode="0.0"/>
    <numFmt numFmtId="171" formatCode="0.00%"/>
    <numFmt numFmtId="172" formatCode="0.0000"/>
    <numFmt numFmtId="173" formatCode="0.0%"/>
    <numFmt numFmtId="174" formatCode="#,##0;;\–"/>
    <numFmt numFmtId="175" formatCode="#,##0.00;\-#,##0.00;\–"/>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1"/>
      <color rgb="FFFFFFFF"/>
      <name val="Arial"/>
      <family val="0"/>
      <charset val="1"/>
    </font>
    <font>
      <sz val="10"/>
      <color rgb="FF000000"/>
      <name val="Arial"/>
      <family val="0"/>
      <charset val="1"/>
    </font>
    <font>
      <sz val="10"/>
      <color rgb="FF0000FF"/>
      <name val="Arial"/>
      <family val="0"/>
      <charset val="1"/>
    </font>
    <font>
      <sz val="10"/>
      <color rgb="FF007A33"/>
      <name val="Arial"/>
      <family val="0"/>
      <charset val="1"/>
    </font>
    <font>
      <b val="true"/>
      <sz val="10"/>
      <color rgb="FF000000"/>
      <name val="Arial"/>
      <family val="0"/>
      <charset val="1"/>
    </font>
    <font>
      <b val="true"/>
      <sz val="9"/>
      <color rgb="FF0B0B0B"/>
      <name val="Arial"/>
      <family val="0"/>
      <charset val="1"/>
    </font>
    <font>
      <b val="true"/>
      <u val="single"/>
      <sz val="11"/>
      <color rgb="FF0563C1"/>
      <name val="Arial"/>
      <family val="0"/>
      <charset val="1"/>
    </font>
    <font>
      <u val="single"/>
      <sz val="11"/>
      <color rgb="FF0563C1"/>
      <name val="Arial"/>
      <family val="0"/>
      <charset val="1"/>
    </font>
    <font>
      <sz val="10"/>
      <color rgb="FF000000"/>
      <name val="Calibri"/>
      <family val="2"/>
    </font>
    <font>
      <b val="true"/>
      <sz val="10"/>
      <color rgb="FF000000"/>
      <name val="Calibri"/>
      <family val="2"/>
    </font>
  </fonts>
  <fills count="12">
    <fill>
      <patternFill patternType="none"/>
    </fill>
    <fill>
      <patternFill patternType="gray125"/>
    </fill>
    <fill>
      <patternFill patternType="solid">
        <fgColor rgb="FF0B0B0B"/>
        <bgColor rgb="FF000000"/>
      </patternFill>
    </fill>
    <fill>
      <patternFill patternType="solid">
        <fgColor rgb="FF047857"/>
        <bgColor rgb="FF007A33"/>
      </patternFill>
    </fill>
    <fill>
      <patternFill patternType="solid">
        <fgColor rgb="FFFFF2CC"/>
        <bgColor rgb="FFE2EFDA"/>
      </patternFill>
    </fill>
    <fill>
      <patternFill patternType="solid">
        <fgColor rgb="FFC6EFCE"/>
        <bgColor rgb="FFD9F2E8"/>
      </patternFill>
    </fill>
    <fill>
      <patternFill patternType="solid">
        <fgColor rgb="FFFFC7CE"/>
        <bgColor rgb="FFD9D9D9"/>
      </patternFill>
    </fill>
    <fill>
      <patternFill patternType="solid">
        <fgColor rgb="FFFFEB9C"/>
        <bgColor rgb="FFFFF2CC"/>
      </patternFill>
    </fill>
    <fill>
      <patternFill patternType="solid">
        <fgColor rgb="FFD9F2E8"/>
        <bgColor rgb="FFE2EFDA"/>
      </patternFill>
    </fill>
    <fill>
      <patternFill patternType="solid">
        <fgColor rgb="FFE2EFDA"/>
        <bgColor rgb="FFD9F2E8"/>
      </patternFill>
    </fill>
    <fill>
      <patternFill patternType="solid">
        <fgColor rgb="FFDDEBF7"/>
        <bgColor rgb="FFD9F2E8"/>
      </patternFill>
    </fill>
    <fill>
      <patternFill patternType="solid">
        <fgColor rgb="FFD9D9D9"/>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1" shrinkToFit="false"/>
      <protection locked="true" hidden="false"/>
    </xf>
    <xf numFmtId="164" fontId="6" fillId="3" borderId="0" xfId="0" applyFont="true" applyBorder="true" applyAlignment="true" applyProtection="false">
      <alignment horizontal="general" vertical="center" textRotation="0" wrapText="false" indent="1" shrinkToFit="false"/>
      <protection locked="true" hidden="false"/>
    </xf>
    <xf numFmtId="164" fontId="7" fillId="0" borderId="0" xfId="0" applyFont="true" applyBorder="true" applyAlignment="true" applyProtection="false">
      <alignment horizontal="general" vertical="center" textRotation="0" wrapText="true" indent="1"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1"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7" fontId="8"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bottom" textRotation="0" wrapText="tru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9" fontId="8" fillId="4" borderId="1" xfId="0" applyFont="true" applyBorder="true" applyAlignment="true" applyProtection="false">
      <alignment horizontal="center" vertical="center" textRotation="0" wrapText="fals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70" fontId="8" fillId="4"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70" fontId="10"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70" fontId="9" fillId="0" borderId="1"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true" indent="0" shrinkToFit="false"/>
      <protection locked="true" hidden="false"/>
    </xf>
    <xf numFmtId="172" fontId="7"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72" fontId="10" fillId="8" borderId="1" xfId="0" applyFont="true" applyBorder="true" applyAlignment="true" applyProtection="false">
      <alignment horizontal="center" vertical="center" textRotation="0" wrapText="false" indent="0" shrinkToFit="false"/>
      <protection locked="true" hidden="false"/>
    </xf>
    <xf numFmtId="173" fontId="7" fillId="0" borderId="1" xfId="0" applyFont="true" applyBorder="true" applyAlignment="true" applyProtection="false">
      <alignment horizontal="center" vertical="center" textRotation="0" wrapText="false" indent="0" shrinkToFit="false"/>
      <protection locked="true" hidden="false"/>
    </xf>
    <xf numFmtId="169" fontId="10" fillId="0" borderId="1" xfId="0" applyFont="true" applyBorder="true" applyAlignment="true" applyProtection="false">
      <alignment horizontal="center" vertical="center" textRotation="0" wrapText="false" indent="0" shrinkToFit="false"/>
      <protection locked="true" hidden="false"/>
    </xf>
    <xf numFmtId="174" fontId="7" fillId="0" borderId="1" xfId="0" applyFont="true" applyBorder="true" applyAlignment="true" applyProtection="false">
      <alignment horizontal="center" vertical="center" textRotation="0" wrapText="false" indent="0" shrinkToFit="false"/>
      <protection locked="true" hidden="false"/>
    </xf>
    <xf numFmtId="175" fontId="7" fillId="0" borderId="1" xfId="0" applyFont="true" applyBorder="true" applyAlignment="true" applyProtection="false">
      <alignment horizontal="center" vertical="center" textRotation="0" wrapText="false" indent="0" shrinkToFit="false"/>
      <protection locked="true" hidden="false"/>
    </xf>
    <xf numFmtId="174" fontId="10" fillId="0" borderId="1" xfId="0" applyFont="true" applyBorder="true" applyAlignment="true" applyProtection="false">
      <alignment horizontal="center" vertical="center" textRotation="0" wrapText="fals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72" fontId="10" fillId="0" borderId="1" xfId="0" applyFont="true" applyBorder="true" applyAlignment="true" applyProtection="false">
      <alignment horizontal="center" vertical="center"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70" fontId="9" fillId="4" borderId="1" xfId="0" applyFont="true" applyBorder="true" applyAlignment="true" applyProtection="false">
      <alignment horizontal="center" vertical="center" textRotation="0" wrapText="false" indent="0" shrinkToFit="false"/>
      <protection locked="true" hidden="false"/>
    </xf>
    <xf numFmtId="172" fontId="7" fillId="0"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ont>
        <name val="Arial"/>
        <charset val="1"/>
        <family val="0"/>
        <b val="1"/>
        <color rgb="FF9C0006"/>
      </font>
      <fill>
        <patternFill>
          <bgColor rgb="FFFFC7CE"/>
        </patternFill>
      </fill>
    </dxf>
    <dxf>
      <font>
        <name val="Arial"/>
        <charset val="1"/>
        <family val="0"/>
        <b val="1"/>
        <color rgb="FF7F6000"/>
      </font>
      <fill>
        <patternFill>
          <bgColor rgb="FFFFEB9C"/>
        </patternFill>
      </fill>
    </dxf>
    <dxf>
      <font>
        <name val="Arial"/>
        <charset val="1"/>
        <family val="0"/>
        <b val="1"/>
        <color rgb="FF006100"/>
      </font>
      <fill>
        <patternFill>
          <bgColor rgb="FFC6EFCE"/>
        </patternFill>
      </fill>
    </dxf>
    <dxf>
      <fill>
        <patternFill patternType="solid">
          <fgColor rgb="FFD9F2E8"/>
          <bgColor rgb="FF000000"/>
        </patternFill>
      </fill>
    </dxf>
    <dxf>
      <fill>
        <patternFill patternType="solid">
          <bgColor rgb="FF000000"/>
        </patternFill>
      </fill>
    </dxf>
    <dxf>
      <fill>
        <patternFill patternType="solid">
          <fgColor rgb="FF000000"/>
          <bgColor rgb="FF000000"/>
        </patternFill>
      </fill>
    </dxf>
    <dxf>
      <fill>
        <patternFill patternType="solid">
          <fgColor rgb="FF0B0B0B"/>
          <bgColor rgb="FF000000"/>
        </patternFill>
      </fill>
    </dxf>
    <dxf>
      <fill>
        <patternFill patternType="solid">
          <fgColor rgb="FFD9D9D9"/>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C00000"/>
      <rgbColor rgb="FF00FF00"/>
      <rgbColor rgb="FF0000FF"/>
      <rgbColor rgb="FFFFFF00"/>
      <rgbColor rgb="FFFF00FF"/>
      <rgbColor rgb="FF00FFFF"/>
      <rgbColor rgb="FF9C0006"/>
      <rgbColor rgb="FF007A33"/>
      <rgbColor rgb="FF000080"/>
      <rgbColor rgb="FF7F6000"/>
      <rgbColor rgb="FF800080"/>
      <rgbColor rgb="FF047857"/>
      <rgbColor rgb="FFBFBFBF"/>
      <rgbColor rgb="FF7F7F7F"/>
      <rgbColor rgb="FF9999FF"/>
      <rgbColor rgb="FF993366"/>
      <rgbColor rgb="FFFFF2CC"/>
      <rgbColor rgb="FFD9F2E8"/>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DEBF7"/>
      <rgbColor rgb="FFC6EFCE"/>
      <rgbColor rgb="FFFFEB9C"/>
      <rgbColor rgb="FFE2EFDA"/>
      <rgbColor rgb="FFFF99CC"/>
      <rgbColor rgb="FFCC99FF"/>
      <rgbColor rgb="FFFFC7CE"/>
      <rgbColor rgb="FF3366FF"/>
      <rgbColor rgb="FF00D58F"/>
      <rgbColor rgb="FF87A44B"/>
      <rgbColor rgb="FFFFCC00"/>
      <rgbColor rgb="FFFF9900"/>
      <rgbColor rgb="FFFF6600"/>
      <rgbColor rgb="FF595959"/>
      <rgbColor rgb="FF878787"/>
      <rgbColor rgb="FF003366"/>
      <rgbColor rgb="FF339966"/>
      <rgbColor rgb="FF0B0B0B"/>
      <rgbColor rgb="FF0061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tx>
            <c:strRef>
              <c:f>"Diagrama φPn–φMn"</c:f>
              <c:strCache>
                <c:ptCount val="1"/>
                <c:pt idx="0">
                  <c:v>Diagrama φPn–φMn</c:v>
                </c:pt>
              </c:strCache>
            </c:strRef>
          </c:tx>
          <c:spPr>
            <a:solidFill>
              <a:srgbClr val="87a44b"/>
            </a:solidFill>
            <a:ln w="47520">
              <a:solidFill>
                <a:srgbClr val="87a44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Interaccion!$P$10:$P$30</c:f>
              <c:numCache>
                <c:formatCode>0.0</c:formatCode>
                <c:ptCount val="21"/>
                <c:pt idx="0">
                  <c:v>0</c:v>
                </c:pt>
                <c:pt idx="1">
                  <c:v>0</c:v>
                </c:pt>
                <c:pt idx="2">
                  <c:v>1.02440249000537</c:v>
                </c:pt>
                <c:pt idx="3">
                  <c:v>2.47935095407096</c:v>
                </c:pt>
                <c:pt idx="4">
                  <c:v>3.93429941813655</c:v>
                </c:pt>
                <c:pt idx="5">
                  <c:v>19.1477928040771</c:v>
                </c:pt>
                <c:pt idx="6">
                  <c:v>25.3644040221365</c:v>
                </c:pt>
                <c:pt idx="7">
                  <c:v>30.6585627356807</c:v>
                </c:pt>
                <c:pt idx="8">
                  <c:v>34.6443947666036</c:v>
                </c:pt>
                <c:pt idx="9">
                  <c:v>37.1133433622814</c:v>
                </c:pt>
                <c:pt idx="10">
                  <c:v>38.6253303806054</c:v>
                </c:pt>
                <c:pt idx="11">
                  <c:v>39.3275743514664</c:v>
                </c:pt>
                <c:pt idx="12">
                  <c:v>40.5374460046201</c:v>
                </c:pt>
                <c:pt idx="13">
                  <c:v>41.5669605908634</c:v>
                </c:pt>
                <c:pt idx="14">
                  <c:v>42.2897761584442</c:v>
                </c:pt>
                <c:pt idx="15">
                  <c:v>37.8924799810168</c:v>
                </c:pt>
                <c:pt idx="16">
                  <c:v>30.6411300619439</c:v>
                </c:pt>
                <c:pt idx="17">
                  <c:v>20.6299120978641</c:v>
                </c:pt>
                <c:pt idx="18">
                  <c:v>11.6206787109375</c:v>
                </c:pt>
                <c:pt idx="19">
                  <c:v>6.08021850585938</c:v>
                </c:pt>
                <c:pt idx="20">
                  <c:v>2.4968583984375</c:v>
                </c:pt>
              </c:numCache>
            </c:numRef>
          </c:xVal>
          <c:yVal>
            <c:numRef>
              <c:f>Interaccion!$O$10:$O$30</c:f>
              <c:numCache>
                <c:formatCode>0.0</c:formatCode>
                <c:ptCount val="21"/>
                <c:pt idx="0">
                  <c:v>857.385764600792</c:v>
                </c:pt>
                <c:pt idx="1">
                  <c:v>857.385764600792</c:v>
                </c:pt>
                <c:pt idx="2">
                  <c:v>857.385764600792</c:v>
                </c:pt>
                <c:pt idx="3">
                  <c:v>857.385764600792</c:v>
                </c:pt>
                <c:pt idx="4">
                  <c:v>857.385764600792</c:v>
                </c:pt>
                <c:pt idx="5">
                  <c:v>857.385764600792</c:v>
                </c:pt>
                <c:pt idx="6">
                  <c:v>784.849060137712</c:v>
                </c:pt>
                <c:pt idx="7">
                  <c:v>694.393293980839</c:v>
                </c:pt>
                <c:pt idx="8">
                  <c:v>597.714182376855</c:v>
                </c:pt>
                <c:pt idx="9">
                  <c:v>486.995203444187</c:v>
                </c:pt>
                <c:pt idx="10">
                  <c:v>361.340195438453</c:v>
                </c:pt>
                <c:pt idx="11">
                  <c:v>301.40132137061</c:v>
                </c:pt>
                <c:pt idx="12">
                  <c:v>276.217926537186</c:v>
                </c:pt>
                <c:pt idx="13">
                  <c:v>244.83545235163</c:v>
                </c:pt>
                <c:pt idx="14">
                  <c:v>202.756632067059</c:v>
                </c:pt>
                <c:pt idx="15">
                  <c:v>131.533063552105</c:v>
                </c:pt>
                <c:pt idx="16">
                  <c:v>33.8285553114213</c:v>
                </c:pt>
                <c:pt idx="17">
                  <c:v>-95.1451042563842</c:v>
                </c:pt>
                <c:pt idx="18">
                  <c:v>-202.404075402577</c:v>
                </c:pt>
                <c:pt idx="19">
                  <c:v>-253.204856652577</c:v>
                </c:pt>
                <c:pt idx="20">
                  <c:v>-283.685325402577</c:v>
                </c:pt>
              </c:numCache>
            </c:numRef>
          </c:yVal>
          <c:smooth val="1"/>
        </c:ser>
        <c:ser>
          <c:idx val="1"/>
          <c:order val="1"/>
          <c:tx>
            <c:strRef>
              <c:f>"Solicitación (Mu; Pu)"</c:f>
              <c:strCache>
                <c:ptCount val="1"/>
                <c:pt idx="0">
                  <c:v>Solicitación (Mu; Pu)</c:v>
                </c:pt>
              </c:strCache>
            </c:strRef>
          </c:tx>
          <c:spPr>
            <a:solidFill>
              <a:srgbClr val="ffffff"/>
            </a:solidFill>
            <a:ln w="47520">
              <a:noFill/>
            </a:ln>
          </c:spPr>
          <c:marker>
            <c:symbol val="diamond"/>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Interaccion!$O$33</c:f>
              <c:numCache>
                <c:formatCode>0.0</c:formatCode>
                <c:ptCount val="1"/>
                <c:pt idx="0">
                  <c:v>15</c:v>
                </c:pt>
              </c:numCache>
            </c:numRef>
          </c:xVal>
          <c:yVal>
            <c:numRef>
              <c:f>Interaccion!$P$33</c:f>
              <c:numCache>
                <c:formatCode>0.0</c:formatCode>
                <c:ptCount val="1"/>
                <c:pt idx="0">
                  <c:v>134.9745</c:v>
                </c:pt>
              </c:numCache>
            </c:numRef>
          </c:yVal>
          <c:smooth val="1"/>
        </c:ser>
        <c:axId val="60910662"/>
        <c:axId val="5622952"/>
      </c:scatterChart>
      <c:valAx>
        <c:axId val="60910662"/>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φMn [kNm]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22952"/>
        <c:crosses val="autoZero"/>
        <c:crossBetween val="midCat"/>
      </c:valAx>
      <c:valAx>
        <c:axId val="562295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φPn [kN]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910662"/>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tx>
            <c:strRef>
              <c:f>"Diagrama φPn–φMn"</c:f>
              <c:strCache>
                <c:ptCount val="1"/>
                <c:pt idx="0">
                  <c:v>Diagrama φPn–φMn</c:v>
                </c:pt>
              </c:strCache>
            </c:strRef>
          </c:tx>
          <c:spPr>
            <a:solidFill>
              <a:srgbClr val="87a44b"/>
            </a:solidFill>
            <a:ln w="47520">
              <a:solidFill>
                <a:srgbClr val="87a44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Interaccion!$P$40:$P$60</c:f>
              <c:numCache>
                <c:formatCode>0.0</c:formatCode>
                <c:ptCount val="21"/>
                <c:pt idx="0">
                  <c:v>0</c:v>
                </c:pt>
                <c:pt idx="1">
                  <c:v>0</c:v>
                </c:pt>
                <c:pt idx="2">
                  <c:v>1.65610690362166</c:v>
                </c:pt>
                <c:pt idx="3">
                  <c:v>3.71369426872736</c:v>
                </c:pt>
                <c:pt idx="4">
                  <c:v>5.77128163383305</c:v>
                </c:pt>
                <c:pt idx="5">
                  <c:v>31.6036346239387</c:v>
                </c:pt>
                <c:pt idx="6">
                  <c:v>42.1897972023507</c:v>
                </c:pt>
                <c:pt idx="7">
                  <c:v>50.9576338086888</c:v>
                </c:pt>
                <c:pt idx="8">
                  <c:v>57.5208987311235</c:v>
                </c:pt>
                <c:pt idx="9">
                  <c:v>62.1245428464531</c:v>
                </c:pt>
                <c:pt idx="10">
                  <c:v>64.3061466945754</c:v>
                </c:pt>
                <c:pt idx="11">
                  <c:v>66.1493435557777</c:v>
                </c:pt>
                <c:pt idx="12">
                  <c:v>68.5032766857823</c:v>
                </c:pt>
                <c:pt idx="13">
                  <c:v>70.6866895063237</c:v>
                </c:pt>
                <c:pt idx="14">
                  <c:v>71.2415818793881</c:v>
                </c:pt>
                <c:pt idx="15">
                  <c:v>62.8969439138434</c:v>
                </c:pt>
                <c:pt idx="16">
                  <c:v>53.1071369577985</c:v>
                </c:pt>
                <c:pt idx="17">
                  <c:v>39.1447961454991</c:v>
                </c:pt>
                <c:pt idx="18">
                  <c:v>20.0805328125</c:v>
                </c:pt>
                <c:pt idx="19">
                  <c:v>10.506617578125</c:v>
                </c:pt>
                <c:pt idx="20">
                  <c:v>4.3145713125</c:v>
                </c:pt>
              </c:numCache>
            </c:numRef>
          </c:xVal>
          <c:yVal>
            <c:numRef>
              <c:f>Interaccion!$O$40:$O$60</c:f>
              <c:numCache>
                <c:formatCode>0.0</c:formatCode>
                <c:ptCount val="21"/>
                <c:pt idx="0">
                  <c:v>1244.64114690119</c:v>
                </c:pt>
                <c:pt idx="1">
                  <c:v>1244.64114690119</c:v>
                </c:pt>
                <c:pt idx="2">
                  <c:v>1244.64114690119</c:v>
                </c:pt>
                <c:pt idx="3">
                  <c:v>1244.64114690119</c:v>
                </c:pt>
                <c:pt idx="4">
                  <c:v>1244.64114690119</c:v>
                </c:pt>
                <c:pt idx="5">
                  <c:v>1244.64114690119</c:v>
                </c:pt>
                <c:pt idx="6">
                  <c:v>1133.30352987312</c:v>
                </c:pt>
                <c:pt idx="7">
                  <c:v>998.886048907469</c:v>
                </c:pt>
                <c:pt idx="8">
                  <c:v>856.253751951629</c:v>
                </c:pt>
                <c:pt idx="9">
                  <c:v>701.299231010508</c:v>
                </c:pt>
                <c:pt idx="10">
                  <c:v>522.773789188453</c:v>
                </c:pt>
                <c:pt idx="11">
                  <c:v>458.075752243191</c:v>
                </c:pt>
                <c:pt idx="12">
                  <c:v>403.726402318396</c:v>
                </c:pt>
                <c:pt idx="13">
                  <c:v>330.843885238941</c:v>
                </c:pt>
                <c:pt idx="14">
                  <c:v>221.319476441757</c:v>
                </c:pt>
                <c:pt idx="15">
                  <c:v>114.87049586195</c:v>
                </c:pt>
                <c:pt idx="16">
                  <c:v>10.3215505190355</c:v>
                </c:pt>
                <c:pt idx="17">
                  <c:v>-127.975639745802</c:v>
                </c:pt>
                <c:pt idx="18">
                  <c:v>-309.702206853866</c:v>
                </c:pt>
                <c:pt idx="19">
                  <c:v>-382.855331853866</c:v>
                </c:pt>
                <c:pt idx="20">
                  <c:v>-426.747206853866</c:v>
                </c:pt>
              </c:numCache>
            </c:numRef>
          </c:yVal>
          <c:smooth val="1"/>
        </c:ser>
        <c:ser>
          <c:idx val="1"/>
          <c:order val="1"/>
          <c:tx>
            <c:strRef>
              <c:f>"Solicitación (Mu; Pu)"</c:f>
              <c:strCache>
                <c:ptCount val="1"/>
                <c:pt idx="0">
                  <c:v>Solicitación (Mu; Pu)</c:v>
                </c:pt>
              </c:strCache>
            </c:strRef>
          </c:tx>
          <c:spPr>
            <a:solidFill>
              <a:srgbClr val="ffffff"/>
            </a:solidFill>
            <a:ln w="47520">
              <a:noFill/>
            </a:ln>
          </c:spPr>
          <c:marker>
            <c:symbol val="diamond"/>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Interaccion!$O$63</c:f>
              <c:numCache>
                <c:formatCode>0.0</c:formatCode>
                <c:ptCount val="1"/>
                <c:pt idx="0">
                  <c:v>25</c:v>
                </c:pt>
              </c:numCache>
            </c:numRef>
          </c:xVal>
          <c:yVal>
            <c:numRef>
              <c:f>Interaccion!$P$63</c:f>
              <c:numCache>
                <c:formatCode>0.0</c:formatCode>
                <c:ptCount val="1"/>
                <c:pt idx="0">
                  <c:v>156.698</c:v>
                </c:pt>
              </c:numCache>
            </c:numRef>
          </c:yVal>
          <c:smooth val="1"/>
        </c:ser>
        <c:axId val="36364793"/>
        <c:axId val="31927276"/>
      </c:scatterChart>
      <c:valAx>
        <c:axId val="36364793"/>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φMn [kNm]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927276"/>
        <c:crosses val="autoZero"/>
        <c:crossBetween val="midCat"/>
      </c:valAx>
      <c:valAx>
        <c:axId val="3192727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φPn [kN]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364793"/>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tx>
            <c:strRef>
              <c:f>"Diagrama φPn–φMn"</c:f>
              <c:strCache>
                <c:ptCount val="1"/>
                <c:pt idx="0">
                  <c:v>Diagrama φPn–φMn</c:v>
                </c:pt>
              </c:strCache>
            </c:strRef>
          </c:tx>
          <c:spPr>
            <a:solidFill>
              <a:srgbClr val="87a44b"/>
            </a:solidFill>
            <a:ln w="47520">
              <a:solidFill>
                <a:srgbClr val="87a44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Interaccion!$P$70:$P$90</c:f>
              <c:numCache>
                <c:formatCode>0.0</c:formatCode>
                <c:ptCount val="21"/>
                <c:pt idx="0">
                  <c:v>0</c:v>
                </c:pt>
                <c:pt idx="1">
                  <c:v>0</c:v>
                </c:pt>
                <c:pt idx="2">
                  <c:v>4.40373881190304</c:v>
                </c:pt>
                <c:pt idx="3">
                  <c:v>9.25914314297564</c:v>
                </c:pt>
                <c:pt idx="4">
                  <c:v>14.1145474740482</c:v>
                </c:pt>
                <c:pt idx="5">
                  <c:v>52.9920902698267</c:v>
                </c:pt>
                <c:pt idx="6">
                  <c:v>70.6699952405418</c:v>
                </c:pt>
                <c:pt idx="7">
                  <c:v>85.1653217664356</c:v>
                </c:pt>
                <c:pt idx="8">
                  <c:v>96.8248844425848</c:v>
                </c:pt>
                <c:pt idx="9">
                  <c:v>106.226707594117</c:v>
                </c:pt>
                <c:pt idx="10">
                  <c:v>114.63877972534</c:v>
                </c:pt>
                <c:pt idx="11">
                  <c:v>120.429056957897</c:v>
                </c:pt>
                <c:pt idx="12">
                  <c:v>125.594120268532</c:v>
                </c:pt>
                <c:pt idx="13">
                  <c:v>130.869590383829</c:v>
                </c:pt>
                <c:pt idx="14">
                  <c:v>128.852193790923</c:v>
                </c:pt>
                <c:pt idx="15">
                  <c:v>115.818059480126</c:v>
                </c:pt>
                <c:pt idx="16">
                  <c:v>99.21330332643</c:v>
                </c:pt>
                <c:pt idx="17">
                  <c:v>78.5102584011906</c:v>
                </c:pt>
                <c:pt idx="18">
                  <c:v>43.820055597205</c:v>
                </c:pt>
                <c:pt idx="19">
                  <c:v>15.565359375</c:v>
                </c:pt>
                <c:pt idx="20">
                  <c:v>6.3919575</c:v>
                </c:pt>
              </c:numCache>
            </c:numRef>
          </c:xVal>
          <c:yVal>
            <c:numRef>
              <c:f>Interaccion!$O$70:$O$90</c:f>
              <c:numCache>
                <c:formatCode>0.0</c:formatCode>
                <c:ptCount val="21"/>
                <c:pt idx="0">
                  <c:v>1355.14114690119</c:v>
                </c:pt>
                <c:pt idx="1">
                  <c:v>1355.14114690119</c:v>
                </c:pt>
                <c:pt idx="2">
                  <c:v>1355.14114690119</c:v>
                </c:pt>
                <c:pt idx="3">
                  <c:v>1355.14114690119</c:v>
                </c:pt>
                <c:pt idx="4">
                  <c:v>1355.14114690119</c:v>
                </c:pt>
                <c:pt idx="5">
                  <c:v>1355.14114690119</c:v>
                </c:pt>
                <c:pt idx="6">
                  <c:v>1223.44968716439</c:v>
                </c:pt>
                <c:pt idx="7">
                  <c:v>1077.94503247068</c:v>
                </c:pt>
                <c:pt idx="8">
                  <c:v>924.412262150202</c:v>
                </c:pt>
                <c:pt idx="9">
                  <c:v>758.837318389561</c:v>
                </c:pt>
                <c:pt idx="10">
                  <c:v>583.304784051508</c:v>
                </c:pt>
                <c:pt idx="11">
                  <c:v>560.841142930981</c:v>
                </c:pt>
                <c:pt idx="12">
                  <c:v>530.017759869512</c:v>
                </c:pt>
                <c:pt idx="13">
                  <c:v>493.259975347323</c:v>
                </c:pt>
                <c:pt idx="14">
                  <c:v>421.864850721987</c:v>
                </c:pt>
                <c:pt idx="15">
                  <c:v>310.183036931729</c:v>
                </c:pt>
                <c:pt idx="16">
                  <c:v>183.300941246342</c:v>
                </c:pt>
                <c:pt idx="17">
                  <c:v>37.5542099946798</c:v>
                </c:pt>
                <c:pt idx="18">
                  <c:v>-195.729858956609</c:v>
                </c:pt>
                <c:pt idx="19">
                  <c:v>-374.727206853866</c:v>
                </c:pt>
                <c:pt idx="20">
                  <c:v>-423.495956853866</c:v>
                </c:pt>
              </c:numCache>
            </c:numRef>
          </c:yVal>
          <c:smooth val="1"/>
        </c:ser>
        <c:ser>
          <c:idx val="1"/>
          <c:order val="1"/>
          <c:tx>
            <c:strRef>
              <c:f>"Solicitación (Mu; Pu)"</c:f>
              <c:strCache>
                <c:ptCount val="1"/>
                <c:pt idx="0">
                  <c:v>Solicitación (Mu; Pu)</c:v>
                </c:pt>
              </c:strCache>
            </c:strRef>
          </c:tx>
          <c:spPr>
            <a:solidFill>
              <a:srgbClr val="ffffff"/>
            </a:solidFill>
            <a:ln w="47520">
              <a:noFill/>
            </a:ln>
          </c:spPr>
          <c:marker>
            <c:symbol val="diamond"/>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Interaccion!$O$93</c:f>
              <c:numCache>
                <c:formatCode>0.0</c:formatCode>
                <c:ptCount val="1"/>
                <c:pt idx="0">
                  <c:v>40</c:v>
                </c:pt>
              </c:numCache>
            </c:numRef>
          </c:xVal>
          <c:yVal>
            <c:numRef>
              <c:f>Interaccion!$P$93</c:f>
              <c:numCache>
                <c:formatCode>0.0</c:formatCode>
                <c:ptCount val="1"/>
                <c:pt idx="0">
                  <c:v>212.212</c:v>
                </c:pt>
              </c:numCache>
            </c:numRef>
          </c:yVal>
          <c:smooth val="1"/>
        </c:ser>
        <c:axId val="39847346"/>
        <c:axId val="11373621"/>
      </c:scatterChart>
      <c:valAx>
        <c:axId val="39847346"/>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φMn [kNm]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373621"/>
        <c:crosses val="autoZero"/>
        <c:crossBetween val="midCat"/>
      </c:valAx>
      <c:valAx>
        <c:axId val="1137362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φPn [kN]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847346"/>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tx>
            <c:strRef>
              <c:f>"Diagrama φPn–φMn"</c:f>
              <c:strCache>
                <c:ptCount val="1"/>
                <c:pt idx="0">
                  <c:v>Diagrama φPn–φMn</c:v>
                </c:pt>
              </c:strCache>
            </c:strRef>
          </c:tx>
          <c:spPr>
            <a:solidFill>
              <a:srgbClr val="87a44b"/>
            </a:solidFill>
            <a:ln w="47520">
              <a:solidFill>
                <a:srgbClr val="87a44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Interaccion!$P$100:$P$120</c:f>
              <c:numCache>
                <c:formatCode>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xVal>
          <c:yVal>
            <c:numRef>
              <c:f>Interaccion!$O$100:$O$120</c:f>
              <c:numCache>
                <c:formatCode>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1"/>
        </c:ser>
        <c:ser>
          <c:idx val="1"/>
          <c:order val="1"/>
          <c:tx>
            <c:strRef>
              <c:f>"Solicitación (Mu; Pu)"</c:f>
              <c:strCache>
                <c:ptCount val="1"/>
                <c:pt idx="0">
                  <c:v>Solicitación (Mu; Pu)</c:v>
                </c:pt>
              </c:strCache>
            </c:strRef>
          </c:tx>
          <c:spPr>
            <a:solidFill>
              <a:srgbClr val="ffffff"/>
            </a:solidFill>
            <a:ln w="47520">
              <a:noFill/>
            </a:ln>
          </c:spPr>
          <c:marker>
            <c:symbol val="diamond"/>
            <c:size val="9"/>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Interaccion!$O$123</c:f>
              <c:numCache>
                <c:formatCode>0.0</c:formatCode>
                <c:ptCount val="1"/>
                <c:pt idx="0">
                  <c:v>0</c:v>
                </c:pt>
              </c:numCache>
            </c:numRef>
          </c:xVal>
          <c:yVal>
            <c:numRef>
              <c:f>Interaccion!$P$123</c:f>
              <c:numCache>
                <c:formatCode>General</c:formatCode>
                <c:ptCount val="1"/>
              </c:numCache>
            </c:numRef>
          </c:yVal>
          <c:smooth val="1"/>
        </c:ser>
        <c:axId val="8611496"/>
        <c:axId val="23135585"/>
      </c:scatterChart>
      <c:valAx>
        <c:axId val="8611496"/>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φMn [kNm]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135585"/>
        <c:crosses val="autoZero"/>
        <c:crossBetween val="midCat"/>
      </c:valAx>
      <c:valAx>
        <c:axId val="2313558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φPn [kN]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11496"/>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0</xdr:colOff>
      <xdr:row>5</xdr:row>
      <xdr:rowOff>0</xdr:rowOff>
    </xdr:from>
    <xdr:to>
      <xdr:col>24</xdr:col>
      <xdr:colOff>398880</xdr:colOff>
      <xdr:row>17</xdr:row>
      <xdr:rowOff>90000</xdr:rowOff>
    </xdr:to>
    <xdr:graphicFrame>
      <xdr:nvGraphicFramePr>
        <xdr:cNvPr id="0" name="Chart 1"/>
        <xdr:cNvGraphicFramePr/>
      </xdr:nvGraphicFramePr>
      <xdr:xfrm>
        <a:off x="13744440" y="1305000"/>
        <a:ext cx="467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35</xdr:row>
      <xdr:rowOff>0</xdr:rowOff>
    </xdr:from>
    <xdr:to>
      <xdr:col>24</xdr:col>
      <xdr:colOff>398880</xdr:colOff>
      <xdr:row>47</xdr:row>
      <xdr:rowOff>89640</xdr:rowOff>
    </xdr:to>
    <xdr:graphicFrame>
      <xdr:nvGraphicFramePr>
        <xdr:cNvPr id="1" name="Chart 2"/>
        <xdr:cNvGraphicFramePr/>
      </xdr:nvGraphicFramePr>
      <xdr:xfrm>
        <a:off x="13744440" y="7343640"/>
        <a:ext cx="467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0</xdr:colOff>
      <xdr:row>65</xdr:row>
      <xdr:rowOff>0</xdr:rowOff>
    </xdr:from>
    <xdr:to>
      <xdr:col>24</xdr:col>
      <xdr:colOff>398880</xdr:colOff>
      <xdr:row>77</xdr:row>
      <xdr:rowOff>89640</xdr:rowOff>
    </xdr:to>
    <xdr:graphicFrame>
      <xdr:nvGraphicFramePr>
        <xdr:cNvPr id="2" name="Chart 3"/>
        <xdr:cNvGraphicFramePr/>
      </xdr:nvGraphicFramePr>
      <xdr:xfrm>
        <a:off x="13744440" y="13382640"/>
        <a:ext cx="467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95</xdr:row>
      <xdr:rowOff>0</xdr:rowOff>
    </xdr:from>
    <xdr:to>
      <xdr:col>24</xdr:col>
      <xdr:colOff>398880</xdr:colOff>
      <xdr:row>107</xdr:row>
      <xdr:rowOff>90000</xdr:rowOff>
    </xdr:to>
    <xdr:graphicFrame>
      <xdr:nvGraphicFramePr>
        <xdr:cNvPr id="3" name="Chart 4"/>
        <xdr:cNvGraphicFramePr/>
      </xdr:nvGraphicFramePr>
      <xdr:xfrm>
        <a:off x="13744440" y="19421640"/>
        <a:ext cx="467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Planilla_Unificada.xlsx" TargetMode="External"/><Relationship Id="rId2" Type="http://schemas.openxmlformats.org/officeDocument/2006/relationships/hyperlink" Target="Planilla_Unificada.xlsx" TargetMode="External"/><Relationship Id="rId3" Type="http://schemas.openxmlformats.org/officeDocument/2006/relationships/hyperlink" Target="Planilla_Unificada.xlsx" TargetMode="External"/><Relationship Id="rId4" Type="http://schemas.openxmlformats.org/officeDocument/2006/relationships/hyperlink" Target="Planilla_Unificada.xlsx" TargetMode="External"/><Relationship Id="rId5" Type="http://schemas.openxmlformats.org/officeDocument/2006/relationships/hyperlink" Target="Planilla_Unificada.xlsx" TargetMode="External"/><Relationship Id="rId6" Type="http://schemas.openxmlformats.org/officeDocument/2006/relationships/hyperlink" Target="Planilla_Unificada.xlsx" TargetMode="External"/><Relationship Id="rId7" Type="http://schemas.openxmlformats.org/officeDocument/2006/relationships/hyperlink" Target="Planilla_Unificada.xlsx" TargetMode="External"/><Relationship Id="rId8" Type="http://schemas.openxmlformats.org/officeDocument/2006/relationships/hyperlink" Target="Planilla_Unificada.xlsx" TargetMode="External"/><Relationship Id="rId9" Type="http://schemas.openxmlformats.org/officeDocument/2006/relationships/hyperlink" Target="Planilla_Unificada.xlsx" TargetMode="External"/><Relationship Id="rId10" Type="http://schemas.openxmlformats.org/officeDocument/2006/relationships/hyperlink" Target="Planilla_Unificada.xlsx" TargetMode="External"/><Relationship Id="rId11" Type="http://schemas.openxmlformats.org/officeDocument/2006/relationships/hyperlink" Target="Planilla_Unificada.xlsx" TargetMode="External"/><Relationship Id="rId12" Type="http://schemas.openxmlformats.org/officeDocument/2006/relationships/hyperlink" Target="Planilla_Unificada.xlsx" TargetMode="External"/><Relationship Id="rId13" Type="http://schemas.openxmlformats.org/officeDocument/2006/relationships/hyperlink" Target="Planilla_Unificada.xlsx" TargetMode="External"/><Relationship Id="rId14" Type="http://schemas.openxmlformats.org/officeDocument/2006/relationships/hyperlink" Target="Planilla_Unificada.xlsx" TargetMode="External"/><Relationship Id="rId15" Type="http://schemas.openxmlformats.org/officeDocument/2006/relationships/hyperlink" Target="Planilla_Unificada.xlsx" TargetMode="External"/>
</Relationships>
</file>

<file path=xl/worksheets/_rels/sheet2.xml.rels><?xml version="1.0" encoding="UTF-8"?>
<Relationships xmlns="http://schemas.openxmlformats.org/package/2006/relationships"><Relationship Id="rId1" Type="http://schemas.openxmlformats.org/officeDocument/2006/relationships/hyperlink" Target="Planilla_Unificada.xlsx" TargetMode="External"/><Relationship Id="rId2" Type="http://schemas.openxmlformats.org/officeDocument/2006/relationships/hyperlink" Target="Planilla_Unificada.xlsx" TargetMode="External"/><Relationship Id="rId3" Type="http://schemas.openxmlformats.org/officeDocument/2006/relationships/hyperlink" Target="Planilla_Unificada.xlsx" TargetMode="External"/><Relationship Id="rId4" Type="http://schemas.openxmlformats.org/officeDocument/2006/relationships/hyperlink" Target="Planilla_Unificada.xlsx" TargetMode="External"/><Relationship Id="rId5" Type="http://schemas.openxmlformats.org/officeDocument/2006/relationships/hyperlink" Target="Planilla_Unificada.xlsx" TargetMode="External"/><Relationship Id="rId6" Type="http://schemas.openxmlformats.org/officeDocument/2006/relationships/hyperlink" Target="Planilla_Unificada.xlsx" TargetMode="External"/><Relationship Id="rId7" Type="http://schemas.openxmlformats.org/officeDocument/2006/relationships/hyperlink" Target="Planilla_Unificada.xlsx" TargetMode="External"/><Relationship Id="rId8" Type="http://schemas.openxmlformats.org/officeDocument/2006/relationships/hyperlink" Target="Planilla_Unificada.xlsx" TargetMode="External"/>
</Relationships>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_rels/sheet1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0B0B"/>
    <pageSetUpPr fitToPage="true"/>
  </sheetPr>
  <dimension ref="A1:E50"/>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70"/>
    <col collapsed="false" customWidth="true" hidden="false" outlineLevel="0" max="4" min="4" style="0" width="40"/>
    <col collapsed="false" customWidth="true" hidden="false" outlineLevel="0" max="5" min="5" style="0" width="24"/>
  </cols>
  <sheetData>
    <row r="1" customFormat="false" ht="27.75" hidden="false" customHeight="true" outlineLevel="0" collapsed="false">
      <c r="A1" s="1" t="s">
        <v>0</v>
      </c>
      <c r="B1" s="1"/>
      <c r="C1" s="1"/>
      <c r="D1" s="1"/>
      <c r="E1" s="1"/>
    </row>
    <row r="2" customFormat="false" ht="30" hidden="false" customHeight="true" outlineLevel="0" collapsed="false">
      <c r="A2" s="2" t="s">
        <v>1</v>
      </c>
      <c r="B2" s="2"/>
      <c r="C2" s="2"/>
      <c r="D2" s="2"/>
      <c r="E2" s="2"/>
    </row>
    <row r="4" customFormat="false" ht="19.5" hidden="false" customHeight="true" outlineLevel="0" collapsed="false">
      <c r="B4" s="3" t="s">
        <v>2</v>
      </c>
      <c r="C4" s="3"/>
      <c r="D4" s="3"/>
      <c r="E4" s="3"/>
    </row>
    <row r="5" customFormat="false" ht="19.5" hidden="false" customHeight="true" outlineLevel="0" collapsed="false">
      <c r="B5" s="4" t="s">
        <v>3</v>
      </c>
      <c r="C5" s="4"/>
      <c r="D5" s="4"/>
      <c r="E5" s="4"/>
    </row>
    <row r="6" customFormat="false" ht="19.5" hidden="false" customHeight="true" outlineLevel="0" collapsed="false">
      <c r="B6" s="4" t="s">
        <v>4</v>
      </c>
      <c r="C6" s="4"/>
      <c r="D6" s="4"/>
      <c r="E6" s="4"/>
    </row>
    <row r="7" customFormat="false" ht="19.5" hidden="false" customHeight="true" outlineLevel="0" collapsed="false">
      <c r="B7" s="4" t="s">
        <v>5</v>
      </c>
      <c r="C7" s="4"/>
      <c r="D7" s="4"/>
      <c r="E7" s="4"/>
    </row>
    <row r="8" customFormat="false" ht="19.5" hidden="false" customHeight="true" outlineLevel="0" collapsed="false">
      <c r="B8" s="4" t="s">
        <v>6</v>
      </c>
      <c r="C8" s="4"/>
      <c r="D8" s="4"/>
      <c r="E8" s="4"/>
    </row>
    <row r="9" customFormat="false" ht="19.5" hidden="false" customHeight="true" outlineLevel="0" collapsed="false">
      <c r="B9" s="4" t="s">
        <v>7</v>
      </c>
      <c r="C9" s="4"/>
      <c r="D9" s="4"/>
      <c r="E9" s="4"/>
    </row>
    <row r="10" customFormat="false" ht="19.5" hidden="false" customHeight="true" outlineLevel="0" collapsed="false">
      <c r="B10" s="4" t="s">
        <v>8</v>
      </c>
      <c r="C10" s="4"/>
      <c r="D10" s="4"/>
      <c r="E10" s="4"/>
    </row>
    <row r="12" customFormat="false" ht="19.5" hidden="false" customHeight="true" outlineLevel="0" collapsed="false">
      <c r="B12" s="3" t="s">
        <v>9</v>
      </c>
      <c r="C12" s="3"/>
      <c r="D12" s="3"/>
      <c r="E12" s="3"/>
    </row>
    <row r="13" customFormat="false" ht="16.5" hidden="false" customHeight="true" outlineLevel="0" collapsed="false">
      <c r="B13" s="5" t="s">
        <v>10</v>
      </c>
    </row>
    <row r="14" customFormat="false" ht="16.5" hidden="false" customHeight="true" outlineLevel="0" collapsed="false">
      <c r="B14" s="6" t="s">
        <v>11</v>
      </c>
    </row>
    <row r="15" customFormat="false" ht="15" hidden="false" customHeight="false" outlineLevel="0" collapsed="false">
      <c r="B15" s="7" t="s">
        <v>12</v>
      </c>
    </row>
    <row r="16" customFormat="false" ht="15" hidden="false" customHeight="false" outlineLevel="0" collapsed="false">
      <c r="B16" s="8" t="s">
        <v>13</v>
      </c>
    </row>
    <row r="17" customFormat="false" ht="15" hidden="false" customHeight="false" outlineLevel="0" collapsed="false">
      <c r="B17" s="9" t="s">
        <v>14</v>
      </c>
    </row>
    <row r="18" customFormat="false" ht="15" hidden="false" customHeight="false" outlineLevel="0" collapsed="false">
      <c r="B18" s="10" t="s">
        <v>15</v>
      </c>
    </row>
    <row r="20" customFormat="false" ht="19.5" hidden="false" customHeight="true" outlineLevel="0" collapsed="false">
      <c r="B20" s="3" t="s">
        <v>16</v>
      </c>
      <c r="C20" s="3"/>
      <c r="D20" s="3"/>
      <c r="E20" s="3"/>
    </row>
    <row r="21" customFormat="false" ht="21.75" hidden="false" customHeight="true" outlineLevel="0" collapsed="false">
      <c r="B21" s="11" t="s">
        <v>17</v>
      </c>
      <c r="C21" s="11" t="s">
        <v>18</v>
      </c>
      <c r="D21" s="11" t="s">
        <v>19</v>
      </c>
      <c r="E21" s="11"/>
    </row>
    <row r="22" customFormat="false" ht="16.5" hidden="false" customHeight="true" outlineLevel="0" collapsed="false">
      <c r="B22" s="12" t="s">
        <v>20</v>
      </c>
      <c r="C22" s="6" t="s">
        <v>21</v>
      </c>
      <c r="D22" s="6"/>
    </row>
    <row r="23" customFormat="false" ht="16.5" hidden="false" customHeight="true" outlineLevel="0" collapsed="false">
      <c r="B23" s="12" t="s">
        <v>22</v>
      </c>
      <c r="C23" s="6" t="s">
        <v>23</v>
      </c>
      <c r="D23" s="6" t="s">
        <v>24</v>
      </c>
    </row>
    <row r="24" customFormat="false" ht="16.5" hidden="false" customHeight="true" outlineLevel="0" collapsed="false">
      <c r="B24" s="12" t="s">
        <v>25</v>
      </c>
      <c r="C24" s="6" t="s">
        <v>26</v>
      </c>
      <c r="D24" s="6" t="s">
        <v>27</v>
      </c>
    </row>
    <row r="25" customFormat="false" ht="16.5" hidden="false" customHeight="true" outlineLevel="0" collapsed="false">
      <c r="B25" s="12" t="s">
        <v>28</v>
      </c>
      <c r="C25" s="6" t="s">
        <v>29</v>
      </c>
      <c r="D25" s="6" t="s">
        <v>30</v>
      </c>
    </row>
    <row r="26" customFormat="false" ht="16.5" hidden="false" customHeight="true" outlineLevel="0" collapsed="false">
      <c r="B26" s="12" t="s">
        <v>31</v>
      </c>
      <c r="C26" s="6" t="s">
        <v>32</v>
      </c>
      <c r="D26" s="6" t="s">
        <v>33</v>
      </c>
    </row>
    <row r="27" customFormat="false" ht="16.5" hidden="false" customHeight="true" outlineLevel="0" collapsed="false">
      <c r="B27" s="12" t="s">
        <v>34</v>
      </c>
      <c r="C27" s="6" t="s">
        <v>35</v>
      </c>
      <c r="D27" s="6" t="s">
        <v>36</v>
      </c>
    </row>
    <row r="28" customFormat="false" ht="16.5" hidden="false" customHeight="true" outlineLevel="0" collapsed="false">
      <c r="B28" s="12" t="s">
        <v>37</v>
      </c>
      <c r="C28" s="6" t="s">
        <v>38</v>
      </c>
      <c r="D28" s="6" t="s">
        <v>39</v>
      </c>
    </row>
    <row r="29" customFormat="false" ht="16.5" hidden="false" customHeight="true" outlineLevel="0" collapsed="false">
      <c r="B29" s="12" t="s">
        <v>40</v>
      </c>
      <c r="C29" s="6" t="s">
        <v>41</v>
      </c>
      <c r="D29" s="6" t="s">
        <v>42</v>
      </c>
    </row>
    <row r="30" customFormat="false" ht="16.5" hidden="false" customHeight="true" outlineLevel="0" collapsed="false">
      <c r="B30" s="12" t="s">
        <v>43</v>
      </c>
      <c r="C30" s="6" t="s">
        <v>44</v>
      </c>
      <c r="D30" s="6" t="s">
        <v>45</v>
      </c>
    </row>
    <row r="31" customFormat="false" ht="16.5" hidden="false" customHeight="true" outlineLevel="0" collapsed="false">
      <c r="B31" s="12" t="s">
        <v>46</v>
      </c>
      <c r="C31" s="6" t="s">
        <v>47</v>
      </c>
      <c r="D31" s="6" t="s">
        <v>45</v>
      </c>
    </row>
    <row r="32" customFormat="false" ht="30" hidden="false" customHeight="true" outlineLevel="0" collapsed="false">
      <c r="B32" s="12" t="s">
        <v>48</v>
      </c>
      <c r="C32" s="6" t="s">
        <v>49</v>
      </c>
      <c r="D32" s="6" t="s">
        <v>50</v>
      </c>
    </row>
    <row r="33" customFormat="false" ht="16.5" hidden="false" customHeight="true" outlineLevel="0" collapsed="false">
      <c r="B33" s="12" t="s">
        <v>51</v>
      </c>
      <c r="C33" s="6" t="s">
        <v>52</v>
      </c>
      <c r="D33" s="6" t="s">
        <v>45</v>
      </c>
    </row>
    <row r="34" customFormat="false" ht="16.5" hidden="false" customHeight="true" outlineLevel="0" collapsed="false">
      <c r="B34" s="12" t="s">
        <v>53</v>
      </c>
      <c r="C34" s="6" t="s">
        <v>54</v>
      </c>
      <c r="D34" s="6" t="s">
        <v>55</v>
      </c>
    </row>
    <row r="35" customFormat="false" ht="16.5" hidden="false" customHeight="true" outlineLevel="0" collapsed="false">
      <c r="B35" s="12" t="s">
        <v>56</v>
      </c>
      <c r="C35" s="6" t="s">
        <v>57</v>
      </c>
      <c r="D35" s="6" t="s">
        <v>58</v>
      </c>
    </row>
    <row r="36" customFormat="false" ht="16.5" hidden="false" customHeight="true" outlineLevel="0" collapsed="false">
      <c r="B36" s="12" t="s">
        <v>59</v>
      </c>
      <c r="C36" s="6" t="s">
        <v>60</v>
      </c>
      <c r="D36" s="6"/>
    </row>
    <row r="38" customFormat="false" ht="19.5" hidden="false" customHeight="true" outlineLevel="0" collapsed="false">
      <c r="B38" s="3" t="s">
        <v>61</v>
      </c>
      <c r="C38" s="3"/>
      <c r="D38" s="3"/>
      <c r="E38" s="3"/>
    </row>
    <row r="39" customFormat="false" ht="31.5" hidden="false" customHeight="true" outlineLevel="0" collapsed="false">
      <c r="B39" s="13" t="s">
        <v>62</v>
      </c>
      <c r="C39" s="13"/>
      <c r="D39" s="13"/>
      <c r="E39" s="13"/>
    </row>
    <row r="40" customFormat="false" ht="31.5" hidden="false" customHeight="true" outlineLevel="0" collapsed="false">
      <c r="B40" s="13" t="s">
        <v>63</v>
      </c>
      <c r="C40" s="13"/>
      <c r="D40" s="13"/>
      <c r="E40" s="13"/>
    </row>
    <row r="41" customFormat="false" ht="31.5" hidden="false" customHeight="true" outlineLevel="0" collapsed="false">
      <c r="B41" s="13" t="s">
        <v>64</v>
      </c>
      <c r="C41" s="13"/>
      <c r="D41" s="13"/>
      <c r="E41" s="13"/>
    </row>
    <row r="42" customFormat="false" ht="31.5" hidden="false" customHeight="true" outlineLevel="0" collapsed="false">
      <c r="B42" s="13" t="s">
        <v>65</v>
      </c>
      <c r="C42" s="13"/>
      <c r="D42" s="13"/>
      <c r="E42" s="13"/>
    </row>
    <row r="43" customFormat="false" ht="31.5" hidden="false" customHeight="true" outlineLevel="0" collapsed="false">
      <c r="B43" s="13" t="s">
        <v>66</v>
      </c>
      <c r="C43" s="13"/>
      <c r="D43" s="13"/>
      <c r="E43" s="13"/>
    </row>
    <row r="45" customFormat="false" ht="19.5" hidden="false" customHeight="true" outlineLevel="0" collapsed="false">
      <c r="B45" s="3" t="s">
        <v>67</v>
      </c>
      <c r="C45" s="3"/>
      <c r="D45" s="3"/>
      <c r="E45" s="3"/>
    </row>
    <row r="46" customFormat="false" ht="43.5" hidden="false" customHeight="true" outlineLevel="0" collapsed="false">
      <c r="B46" s="13" t="s">
        <v>68</v>
      </c>
      <c r="C46" s="13"/>
      <c r="D46" s="13"/>
      <c r="E46" s="13"/>
    </row>
    <row r="47" customFormat="false" ht="43.5" hidden="false" customHeight="true" outlineLevel="0" collapsed="false">
      <c r="B47" s="13" t="s">
        <v>69</v>
      </c>
      <c r="C47" s="13"/>
      <c r="D47" s="13"/>
      <c r="E47" s="13"/>
    </row>
    <row r="48" customFormat="false" ht="43.5" hidden="false" customHeight="true" outlineLevel="0" collapsed="false">
      <c r="B48" s="13" t="s">
        <v>70</v>
      </c>
      <c r="C48" s="13"/>
      <c r="D48" s="13"/>
      <c r="E48" s="13"/>
    </row>
    <row r="49" customFormat="false" ht="43.5" hidden="false" customHeight="true" outlineLevel="0" collapsed="false">
      <c r="B49" s="13" t="s">
        <v>71</v>
      </c>
      <c r="C49" s="13"/>
      <c r="D49" s="13"/>
      <c r="E49" s="13"/>
    </row>
    <row r="50" customFormat="false" ht="43.5" hidden="false" customHeight="true" outlineLevel="0" collapsed="false">
      <c r="B50" s="13" t="s">
        <v>72</v>
      </c>
      <c r="C50" s="13"/>
      <c r="D50" s="13"/>
      <c r="E50" s="13"/>
    </row>
  </sheetData>
  <mergeCells count="23">
    <mergeCell ref="A1:E1"/>
    <mergeCell ref="A2:E2"/>
    <mergeCell ref="B4:E4"/>
    <mergeCell ref="B5:E5"/>
    <mergeCell ref="B6:E6"/>
    <mergeCell ref="B7:E7"/>
    <mergeCell ref="B8:E8"/>
    <mergeCell ref="B9:E9"/>
    <mergeCell ref="B10:E10"/>
    <mergeCell ref="B12:E12"/>
    <mergeCell ref="B20:E20"/>
    <mergeCell ref="B38:E38"/>
    <mergeCell ref="B39:E39"/>
    <mergeCell ref="B40:E40"/>
    <mergeCell ref="B41:E41"/>
    <mergeCell ref="B42:E42"/>
    <mergeCell ref="B43:E43"/>
    <mergeCell ref="B45:E45"/>
    <mergeCell ref="B46:E46"/>
    <mergeCell ref="B47:E47"/>
    <mergeCell ref="B48:E48"/>
    <mergeCell ref="B49:E49"/>
    <mergeCell ref="B50:E50"/>
  </mergeCells>
  <hyperlinks>
    <hyperlink ref="B22" r:id="rId1" location="'Resumen'!A1" display="Resumen"/>
    <hyperlink ref="B23" r:id="rId2" location="'Datos'!A1" display="Datos"/>
    <hyperlink ref="B24" r:id="rId3" location="'Cargas'!A1" display="Cargas"/>
    <hyperlink ref="B25" r:id="rId4" location="'Losas'!A1" display="Losas"/>
    <hyperlink ref="B26" r:id="rId5" location="'Viguetas%20y%20Correas'!A1" display="Viguetas y Correas"/>
    <hyperlink ref="B27" r:id="rId6" location="'Vigas'!A1" display="Vigas"/>
    <hyperlink ref="B28" r:id="rId7" location="'Columnas'!A1" display="Columnas"/>
    <hyperlink ref="B29" r:id="rId8" location="'Interaccion'!A1" display="Interaccion"/>
    <hyperlink ref="B30" r:id="rId9" location="'Sismo%201%20Accion'!A1" display="Sismo 1 Accion"/>
    <hyperlink ref="B31" r:id="rId10" location="'Sismo%202%20Distribucion'!A1" display="Sismo 2 Distribucion"/>
    <hyperlink ref="B32" r:id="rId11" location="'Muros'!A1" display="Muros"/>
    <hyperlink ref="B33" r:id="rId12" location="'Voladizos'!A1" display="Voladizos"/>
    <hyperlink ref="B34" r:id="rId13" location="'Fundaciones'!A1" display="Fundaciones"/>
    <hyperlink ref="B35" r:id="rId14" location="'Tablas'!A1" display="Tablas / Tablas Sismo"/>
    <hyperlink ref="B36" r:id="rId15" location="'Cambios'!A1" display="Cambios"/>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0B0B"/>
    <pageSetUpPr fitToPage="true"/>
  </sheetPr>
  <dimension ref="A1:H2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3" min="3" style="0" width="16"/>
    <col collapsed="false" customWidth="true" hidden="false" outlineLevel="0" max="5" min="4" style="0" width="13"/>
    <col collapsed="false" customWidth="true" hidden="false" outlineLevel="0" max="6" min="6" style="0" width="15"/>
    <col collapsed="false" customWidth="true" hidden="false" outlineLevel="0" max="7" min="7" style="0" width="16"/>
    <col collapsed="false" customWidth="true" hidden="false" outlineLevel="0" max="8" min="8" style="0" width="50"/>
  </cols>
  <sheetData>
    <row r="1" customFormat="false" ht="27.75" hidden="false" customHeight="true" outlineLevel="0" collapsed="false">
      <c r="A1" s="1" t="s">
        <v>73</v>
      </c>
      <c r="B1" s="1"/>
      <c r="C1" s="1"/>
      <c r="D1" s="1"/>
      <c r="E1" s="1"/>
      <c r="F1" s="1"/>
      <c r="G1" s="1"/>
      <c r="H1" s="1"/>
    </row>
    <row r="2" customFormat="false" ht="30" hidden="false" customHeight="true" outlineLevel="0" collapsed="false">
      <c r="A2" s="2" t="s">
        <v>74</v>
      </c>
      <c r="B2" s="2"/>
      <c r="C2" s="2"/>
      <c r="D2" s="2"/>
      <c r="E2" s="2"/>
      <c r="F2" s="2"/>
      <c r="G2" s="2"/>
      <c r="H2" s="2"/>
    </row>
    <row r="4" customFormat="false" ht="19.5" hidden="false" customHeight="true" outlineLevel="0" collapsed="false">
      <c r="B4" s="3" t="s">
        <v>75</v>
      </c>
      <c r="C4" s="3"/>
      <c r="D4" s="3"/>
      <c r="E4" s="3"/>
      <c r="F4" s="3"/>
      <c r="G4" s="3"/>
      <c r="H4" s="3"/>
    </row>
    <row r="5" customFormat="false" ht="33.75" hidden="false" customHeight="true" outlineLevel="0" collapsed="false">
      <c r="B5" s="11" t="s">
        <v>76</v>
      </c>
      <c r="C5" s="11" t="s">
        <v>77</v>
      </c>
      <c r="D5" s="11" t="s">
        <v>13</v>
      </c>
      <c r="E5" s="11" t="s">
        <v>14</v>
      </c>
      <c r="F5" s="11" t="s">
        <v>15</v>
      </c>
      <c r="G5" s="11" t="s">
        <v>78</v>
      </c>
      <c r="H5" s="11" t="s">
        <v>79</v>
      </c>
    </row>
    <row r="6" customFormat="false" ht="16.5" hidden="false" customHeight="true" outlineLevel="0" collapsed="false">
      <c r="B6" s="6" t="s">
        <v>28</v>
      </c>
      <c r="C6" s="14" t="n">
        <f aca="false">D6+E6+F6</f>
        <v>13</v>
      </c>
      <c r="D6" s="14" t="n">
        <f aca="false">COUNTIF(Losas!J6:J11,"CUMPLE")+COUNTIF(Losas!J6:J11,"OK")+COUNTIF(Losas!N26:N31,"CUMPLE")+COUNTIF(Losas!N26:N31,"OK")+COUNTIF(Losas!N36:N41,"CUMPLE")+COUNTIF(Losas!N36:N41,"OK")+COUNTIF(Losas!F45:F50,"CUMPLE")+COUNTIF(Losas!F45:F50,"OK")+COUNTIF(Losas!L45:L50,"CUMPLE")+COUNTIF(Losas!L45:L50,"OK")</f>
        <v>13</v>
      </c>
      <c r="E6" s="14" t="n">
        <f aca="false">COUNTIF(Losas!J6:J11,"NO CUMPLE")+COUNTIF(Losas!N26:N31,"NO CUMPLE")+COUNTIF(Losas!N36:N41,"NO CUMPLE")+COUNTIF(Losas!F45:F50,"NO CUMPLE")+COUNTIF(Losas!L45:L50,"NO CUMPLE")</f>
        <v>0</v>
      </c>
      <c r="F6" s="14" t="n">
        <f aca="false">COUNTIF(Losas!J6:J11,"REVISAR*")+COUNTIF(Losas!J6:J11,"AUMENTAR*")+COUNTIF(Losas!N26:N31,"REVISAR*")+COUNTIF(Losas!N26:N31,"AUMENTAR*")+COUNTIF(Losas!N36:N41,"REVISAR*")+COUNTIF(Losas!N36:N41,"AUMENTAR*")+COUNTIF(Losas!F45:F50,"REVISAR*")+COUNTIF(Losas!F45:F50,"AUMENTAR*")+COUNTIF(Losas!L45:L50,"REVISAR*")+COUNTIF(Losas!L45:L50,"AUMENTAR*")</f>
        <v>0</v>
      </c>
      <c r="G6" s="15" t="str">
        <f aca="false">IF(E6&gt;0,"NO CUMPLE",IF(F6&gt;0,"REVISAR",IF(D6&gt;0,"CUMPLE","–")))</f>
        <v>CUMPLE</v>
      </c>
      <c r="H6" s="16" t="s">
        <v>28</v>
      </c>
    </row>
    <row r="7" customFormat="false" ht="16.5" hidden="false" customHeight="true" outlineLevel="0" collapsed="false">
      <c r="B7" s="6" t="s">
        <v>34</v>
      </c>
      <c r="C7" s="14" t="n">
        <f aca="false">D7+E7+F7</f>
        <v>7</v>
      </c>
      <c r="D7" s="14" t="n">
        <f aca="false">COUNTIF(Vigas!I6:I11,"CUMPLE")+COUNTIF(Vigas!I6:I11,"OK")+COUNTIF(Vigas!P25:P36,"CUMPLE")+COUNTIF(Vigas!P25:P36,"OK")+COUNTIF(Vigas!N41:N46,"CUMPLE")+COUNTIF(Vigas!N41:N46,"OK")</f>
        <v>7</v>
      </c>
      <c r="E7" s="14" t="n">
        <f aca="false">COUNTIF(Vigas!I6:I11,"NO CUMPLE")+COUNTIF(Vigas!P25:P36,"NO CUMPLE")+COUNTIF(Vigas!N41:N46,"NO CUMPLE")</f>
        <v>0</v>
      </c>
      <c r="F7" s="14" t="n">
        <f aca="false">COUNTIF(Vigas!I6:I11,"REVISAR*")+COUNTIF(Vigas!I6:I11,"AUMENTAR*")+COUNTIF(Vigas!P25:P36,"REVISAR*")+COUNTIF(Vigas!P25:P36,"AUMENTAR*")+COUNTIF(Vigas!N41:N46,"REVISAR*")+COUNTIF(Vigas!N41:N46,"AUMENTAR*")</f>
        <v>0</v>
      </c>
      <c r="G7" s="15" t="str">
        <f aca="false">IF(E7&gt;0,"NO CUMPLE",IF(F7&gt;0,"REVISAR",IF(D7&gt;0,"CUMPLE","–")))</f>
        <v>CUMPLE</v>
      </c>
      <c r="H7" s="16" t="s">
        <v>34</v>
      </c>
    </row>
    <row r="8" customFormat="false" ht="16.5" hidden="false" customHeight="true" outlineLevel="0" collapsed="false">
      <c r="B8" s="6" t="s">
        <v>32</v>
      </c>
      <c r="C8" s="14" t="n">
        <f aca="false">D8+E8+F8</f>
        <v>3</v>
      </c>
      <c r="D8" s="14" t="n">
        <f aca="false">COUNTIF('Viguetas y Correas'!M7:M10,"CUMPLE")+COUNTIF('Viguetas y Correas'!M7:M10,"OK")+COUNTIF('Viguetas y Correas'!R15:R18,"CUMPLE")+COUNTIF('Viguetas y Correas'!R15:R18,"OK")</f>
        <v>3</v>
      </c>
      <c r="E8" s="14" t="n">
        <f aca="false">COUNTIF('Viguetas y Correas'!M7:M10,"NO CUMPLE")+COUNTIF('Viguetas y Correas'!R15:R18,"NO CUMPLE")</f>
        <v>0</v>
      </c>
      <c r="F8" s="14" t="n">
        <f aca="false">COUNTIF('Viguetas y Correas'!M7:M10,"REVISAR*")+COUNTIF('Viguetas y Correas'!M7:M10,"AUMENTAR*")+COUNTIF('Viguetas y Correas'!R15:R18,"REVISAR*")+COUNTIF('Viguetas y Correas'!R15:R18,"AUMENTAR*")</f>
        <v>0</v>
      </c>
      <c r="G8" s="15" t="str">
        <f aca="false">IF(E8&gt;0,"NO CUMPLE",IF(F8&gt;0,"REVISAR",IF(D8&gt;0,"CUMPLE","–")))</f>
        <v>CUMPLE</v>
      </c>
      <c r="H8" s="16" t="s">
        <v>31</v>
      </c>
    </row>
    <row r="9" customFormat="false" ht="16.5" hidden="false" customHeight="true" outlineLevel="0" collapsed="false">
      <c r="B9" s="6" t="s">
        <v>37</v>
      </c>
      <c r="C9" s="14" t="n">
        <f aca="false">D9+E9+F9</f>
        <v>12</v>
      </c>
      <c r="D9" s="14" t="n">
        <f aca="false">COUNTIF(Columnas!O16:O21,"CUMPLE")+COUNTIF(Columnas!O16:O21,"OK")+COUNTIF(Columnas!P16:P21,"CUMPLE")+COUNTIF(Columnas!P16:P21,"OK")+COUNTIF(Columnas!Q16:Q21,"CUMPLE")+COUNTIF(Columnas!Q16:Q21,"OK")+COUNTIF(Columnas!S16:S21,"CUMPLE")+COUNTIF(Columnas!S16:S21,"OK")</f>
        <v>12</v>
      </c>
      <c r="E9" s="14" t="n">
        <f aca="false">COUNTIF(Columnas!O16:O21,"NO CUMPLE")+COUNTIF(Columnas!P16:P21,"NO CUMPLE")+COUNTIF(Columnas!Q16:Q21,"NO CUMPLE")+COUNTIF(Columnas!S16:S21,"NO CUMPLE")</f>
        <v>0</v>
      </c>
      <c r="F9" s="14" t="n">
        <f aca="false">COUNTIF(Columnas!O16:O21,"REVISAR*")+COUNTIF(Columnas!O16:O21,"AUMENTAR*")+COUNTIF(Columnas!P16:P21,"REVISAR*")+COUNTIF(Columnas!P16:P21,"AUMENTAR*")+COUNTIF(Columnas!Q16:Q21,"REVISAR*")+COUNTIF(Columnas!Q16:Q21,"AUMENTAR*")+COUNTIF(Columnas!S16:S21,"REVISAR*")+COUNTIF(Columnas!S16:S21,"AUMENTAR*")</f>
        <v>0</v>
      </c>
      <c r="G9" s="15" t="str">
        <f aca="false">IF(E9&gt;0,"NO CUMPLE",IF(F9&gt;0,"REVISAR",IF(D9&gt;0,"CUMPLE","–")))</f>
        <v>CUMPLE</v>
      </c>
      <c r="H9" s="16" t="s">
        <v>37</v>
      </c>
    </row>
    <row r="10" customFormat="false" ht="16.5" hidden="false" customHeight="true" outlineLevel="0" collapsed="false">
      <c r="B10" s="6" t="s">
        <v>80</v>
      </c>
      <c r="C10" s="14" t="n">
        <f aca="false">D10+E10+F10</f>
        <v>6</v>
      </c>
      <c r="D10" s="14" t="n">
        <f aca="false">COUNTIF(Muros!N6:N19,"CUMPLE")+COUNTIF(Muros!N6:N19,"OK")+COUNTIF(Muros!P24:Q29,"CUMPLE")+COUNTIF(Muros!P24:Q29,"OK")</f>
        <v>6</v>
      </c>
      <c r="E10" s="14" t="n">
        <f aca="false">COUNTIF(Muros!N6:N19,"NO CUMPLE")+COUNTIF(Muros!P24:Q29,"NO CUMPLE")</f>
        <v>0</v>
      </c>
      <c r="F10" s="14" t="n">
        <f aca="false">COUNTIF(Muros!N6:N19,"REVISAR*")+COUNTIF(Muros!N6:N19,"AUMENTAR*")+COUNTIF(Muros!P24:Q29,"REVISAR*")+COUNTIF(Muros!P24:Q29,"AUMENTAR*")</f>
        <v>0</v>
      </c>
      <c r="G10" s="15" t="str">
        <f aca="false">IF(E10&gt;0,"NO CUMPLE",IF(F10&gt;0,"REVISAR",IF(D10&gt;0,"CUMPLE","–")))</f>
        <v>CUMPLE</v>
      </c>
      <c r="H10" s="16" t="s">
        <v>48</v>
      </c>
    </row>
    <row r="11" customFormat="false" ht="16.5" hidden="false" customHeight="true" outlineLevel="0" collapsed="false">
      <c r="B11" s="6" t="s">
        <v>53</v>
      </c>
      <c r="C11" s="14" t="n">
        <f aca="false">D11+E11+F11</f>
        <v>10</v>
      </c>
      <c r="D11" s="14" t="n">
        <f aca="false">COUNTIF(Fundaciones!O6:O11,"CUMPLE")+COUNTIF(Fundaciones!O6:O11,"OK")+COUNTIF(Fundaciones!N16:N19,"CUMPLE")+COUNTIF(Fundaciones!N16:N19,"OK")+COUNTIF(Fundaciones!N24:N27,"CUMPLE")+COUNTIF(Fundaciones!N24:N27,"OK")+COUNTIF(Fundaciones!E32:E35,"CUMPLE")+COUNTIF(Fundaciones!E32:E35,"OK")+COUNTIF(Fundaciones!I32:I35,"CUMPLE")+COUNTIF(Fundaciones!I32:I35,"OK")</f>
        <v>10</v>
      </c>
      <c r="E11" s="14" t="n">
        <f aca="false">COUNTIF(Fundaciones!O6:O11,"NO CUMPLE")+COUNTIF(Fundaciones!N16:N19,"NO CUMPLE")+COUNTIF(Fundaciones!N24:N27,"NO CUMPLE")+COUNTIF(Fundaciones!E32:E35,"NO CUMPLE")+COUNTIF(Fundaciones!I32:I35,"NO CUMPLE")</f>
        <v>0</v>
      </c>
      <c r="F11" s="14" t="n">
        <f aca="false">COUNTIF(Fundaciones!O6:O11,"REVISAR*")+COUNTIF(Fundaciones!O6:O11,"AUMENTAR*")+COUNTIF(Fundaciones!N16:N19,"REVISAR*")+COUNTIF(Fundaciones!N16:N19,"AUMENTAR*")+COUNTIF(Fundaciones!N24:N27,"REVISAR*")+COUNTIF(Fundaciones!N24:N27,"AUMENTAR*")+COUNTIF(Fundaciones!E32:E35,"REVISAR*")+COUNTIF(Fundaciones!E32:E35,"AUMENTAR*")+COUNTIF(Fundaciones!I32:I35,"REVISAR*")+COUNTIF(Fundaciones!I32:I35,"AUMENTAR*")</f>
        <v>0</v>
      </c>
      <c r="G11" s="15" t="str">
        <f aca="false">IF(E11&gt;0,"NO CUMPLE",IF(F11&gt;0,"REVISAR",IF(D11&gt;0,"CUMPLE","–")))</f>
        <v>CUMPLE</v>
      </c>
      <c r="H11" s="16" t="s">
        <v>53</v>
      </c>
    </row>
    <row r="12" customFormat="false" ht="16.5" hidden="false" customHeight="true" outlineLevel="0" collapsed="false">
      <c r="B12" s="6" t="s">
        <v>81</v>
      </c>
      <c r="C12" s="14" t="n">
        <f aca="false">D12+E12+F12</f>
        <v>1</v>
      </c>
      <c r="D12" s="14" t="n">
        <f aca="false">COUNTIF(Voladizos!P7:P10,"CUMPLE")+COUNTIF(Voladizos!P7:P10,"OK")</f>
        <v>1</v>
      </c>
      <c r="E12" s="14" t="n">
        <f aca="false">COUNTIF(Voladizos!P7:P10,"NO CUMPLE")</f>
        <v>0</v>
      </c>
      <c r="F12" s="14" t="n">
        <f aca="false">COUNTIF(Voladizos!P7:P10,"REVISAR*")+COUNTIF(Voladizos!P7:P10,"AUMENTAR*")</f>
        <v>0</v>
      </c>
      <c r="G12" s="15" t="str">
        <f aca="false">IF(E12&gt;0,"NO CUMPLE",IF(F12&gt;0,"REVISAR",IF(D12&gt;0,"CUMPLE","–")))</f>
        <v>CUMPLE</v>
      </c>
      <c r="H12" s="16" t="s">
        <v>51</v>
      </c>
    </row>
    <row r="13" customFormat="false" ht="16.5" hidden="false" customHeight="true" outlineLevel="0" collapsed="false">
      <c r="B13" s="6" t="s">
        <v>82</v>
      </c>
      <c r="C13" s="14" t="n">
        <f aca="false">D13+E13+F13</f>
        <v>2</v>
      </c>
      <c r="D13" s="14" t="n">
        <f aca="false">COUNTIF('Sismo 2 Distribucion'!I72:I73,"CUMPLE")+COUNTIF('Sismo 2 Distribucion'!I72:I73,"OK")</f>
        <v>2</v>
      </c>
      <c r="E13" s="14" t="n">
        <f aca="false">COUNTIF('Sismo 2 Distribucion'!I72:I73,"NO CUMPLE")</f>
        <v>0</v>
      </c>
      <c r="F13" s="14" t="n">
        <f aca="false">COUNTIF('Sismo 2 Distribucion'!I72:I73,"REVISAR*")+COUNTIF('Sismo 2 Distribucion'!I72:I73,"AUMENTAR*")</f>
        <v>0</v>
      </c>
      <c r="G13" s="15" t="str">
        <f aca="false">IF(E13&gt;0,"NO CUMPLE",IF(F13&gt;0,"REVISAR",IF(D13&gt;0,"CUMPLE","–")))</f>
        <v>CUMPLE</v>
      </c>
      <c r="H13" s="16" t="s">
        <v>46</v>
      </c>
    </row>
    <row r="14" customFormat="false" ht="15" hidden="false" customHeight="false" outlineLevel="0" collapsed="false">
      <c r="B14" s="17" t="s">
        <v>83</v>
      </c>
      <c r="C14" s="18" t="n">
        <f aca="false">SUM(C6:C13)</f>
        <v>54</v>
      </c>
      <c r="D14" s="18" t="n">
        <f aca="false">SUM(D6:D13)</f>
        <v>54</v>
      </c>
      <c r="E14" s="18" t="n">
        <f aca="false">SUM(E6:E13)</f>
        <v>0</v>
      </c>
      <c r="F14" s="18" t="n">
        <f aca="false">SUM(F6:F13)</f>
        <v>0</v>
      </c>
      <c r="G14" s="15" t="str">
        <f aca="false">IF(E14&gt;0,"NO CUMPLE",IF(F14&gt;0,"REVISAR","CUMPLE"))</f>
        <v>CUMPLE</v>
      </c>
    </row>
    <row r="17" customFormat="false" ht="19.5" hidden="false" customHeight="true" outlineLevel="0" collapsed="false">
      <c r="B17" s="3" t="s">
        <v>84</v>
      </c>
      <c r="C17" s="3"/>
      <c r="D17" s="3"/>
      <c r="E17" s="3"/>
      <c r="F17" s="3"/>
      <c r="G17" s="3"/>
      <c r="H17" s="3"/>
    </row>
    <row r="18" customFormat="false" ht="15" hidden="false" customHeight="false" outlineLevel="0" collapsed="false">
      <c r="B18" s="19" t="s">
        <v>85</v>
      </c>
      <c r="C18" s="6" t="str">
        <f aca="false">Datos!C13&amp;" · f'c = "&amp;ROUND(Datos!$C$14,0)&amp;" MPa  |  "&amp;Datos!C24&amp;" · fy = "&amp;ROUND(Datos!$C$25,0)&amp;" MPa"</f>
        <v>H-25 · f'c = 25 MPa  |  ADN 420 · fy = 420 MPa</v>
      </c>
      <c r="D18" s="6"/>
      <c r="E18" s="6"/>
      <c r="F18" s="6"/>
      <c r="G18" s="6"/>
      <c r="H18" s="6"/>
    </row>
    <row r="19" customFormat="false" ht="15" hidden="false" customHeight="false" outlineLevel="0" collapsed="false">
      <c r="B19" s="19" t="s">
        <v>86</v>
      </c>
      <c r="C19" s="6" t="str">
        <f aca="false">ROUND(Datos!$C$31,0)&amp;" kPa  ("&amp;ROUND(Datos!C32,2)&amp;" kgf/cm²)"</f>
        <v>150 kPa  (1.53 kgf/cm²)</v>
      </c>
      <c r="D19" s="6"/>
      <c r="E19" s="6"/>
      <c r="F19" s="6"/>
      <c r="G19" s="6"/>
      <c r="H19" s="6"/>
    </row>
    <row r="20" customFormat="false" ht="15" hidden="false" customHeight="false" outlineLevel="0" collapsed="false">
      <c r="B20" s="19" t="s">
        <v>87</v>
      </c>
      <c r="C20" s="6" t="str">
        <f aca="false">ROUND(Cargas!$I$16,2)&amp;" / "&amp;ROUND(Cargas!$I$28,2)&amp;" kN/m²"</f>
        <v>2.14 / 2.32 kN/m²</v>
      </c>
      <c r="D20" s="6"/>
      <c r="E20" s="6"/>
      <c r="F20" s="6"/>
      <c r="G20" s="6"/>
      <c r="H20" s="6"/>
    </row>
    <row r="21" customFormat="false" ht="15" hidden="false" customHeight="false" outlineLevel="0" collapsed="false">
      <c r="B21" s="19" t="s">
        <v>88</v>
      </c>
      <c r="C21" s="6" t="str">
        <f aca="false">ROUND(Cargas!$I$45,2)&amp;" / "&amp;ROUND(Cargas!$J$45,2)&amp;" kN/m²"</f>
        <v>7.77 / 9.58 kN/m²</v>
      </c>
      <c r="D21" s="6"/>
      <c r="E21" s="6"/>
      <c r="F21" s="6"/>
      <c r="G21" s="6"/>
      <c r="H21" s="6"/>
    </row>
    <row r="22" customFormat="false" ht="15" hidden="false" customHeight="false" outlineLevel="0" collapsed="false">
      <c r="B22" s="19" t="s">
        <v>89</v>
      </c>
      <c r="C22" s="6" t="str">
        <f aca="false">"Zona "&amp;'Sismo 1 Accion'!$C$5&amp;" · Tipo "&amp;'Sismo 1 Accion'!$C$6&amp;" · "&amp;'Sismo 1 Accion'!$C$9</f>
        <v>Zona 4 · Tipo 2 · Grupo B</v>
      </c>
      <c r="D22" s="6"/>
      <c r="E22" s="6"/>
      <c r="F22" s="6"/>
      <c r="G22" s="6"/>
      <c r="H22" s="6"/>
    </row>
    <row r="23" customFormat="false" ht="15" hidden="false" customHeight="false" outlineLevel="0" collapsed="false">
      <c r="B23" s="19" t="s">
        <v>90</v>
      </c>
      <c r="C23" s="6" t="str">
        <f aca="false">ROUND('Sismo 1 Accion'!$C$37,3)&amp;"   (R = "&amp;ROUND('Sismo 1 Accion'!$C$14,1)&amp;")"</f>
        <v>0.333   (R = 3)</v>
      </c>
      <c r="D23" s="6"/>
      <c r="E23" s="6"/>
      <c r="F23" s="6"/>
      <c r="G23" s="6"/>
      <c r="H23" s="6"/>
    </row>
    <row r="24" customFormat="false" ht="15" hidden="false" customHeight="false" outlineLevel="0" collapsed="false">
      <c r="B24" s="19" t="s">
        <v>91</v>
      </c>
      <c r="C24" s="6" t="str">
        <f aca="false">ROUND('Sismo 1 Accion'!$C$64,1)&amp;" kN  /  "&amp;ROUND('Sismo 1 Accion'!$C$65,1)&amp;" kN"</f>
        <v>732.9 kN  /  244.3 kN</v>
      </c>
      <c r="D24" s="6"/>
      <c r="E24" s="6"/>
      <c r="F24" s="6"/>
      <c r="G24" s="6"/>
      <c r="H24" s="6"/>
    </row>
    <row r="26" customFormat="false" ht="31.5" hidden="false" customHeight="true" outlineLevel="0" collapsed="false">
      <c r="B26" s="2" t="s">
        <v>92</v>
      </c>
      <c r="C26" s="2"/>
      <c r="D26" s="2"/>
      <c r="E26" s="2"/>
      <c r="F26" s="2"/>
      <c r="G26" s="2"/>
      <c r="H26" s="2"/>
    </row>
  </sheetData>
  <mergeCells count="12">
    <mergeCell ref="A1:H1"/>
    <mergeCell ref="A2:H2"/>
    <mergeCell ref="B4:H4"/>
    <mergeCell ref="B17:H17"/>
    <mergeCell ref="C18:H18"/>
    <mergeCell ref="C19:H19"/>
    <mergeCell ref="C20:H20"/>
    <mergeCell ref="C21:H21"/>
    <mergeCell ref="C22:H22"/>
    <mergeCell ref="C23:H23"/>
    <mergeCell ref="C24:H24"/>
    <mergeCell ref="B26:H26"/>
  </mergeCells>
  <conditionalFormatting sqref="G6:G14">
    <cfRule type="expression" priority="2" aboveAverage="0" equalAverage="0" bottom="0" percent="0" rank="0" text="" dxfId="0">
      <formula>ISNUMBER(SEARCH("NO ",G6))</formula>
    </cfRule>
    <cfRule type="expression" priority="3" aboveAverage="0" equalAverage="0" bottom="0" percent="0" rank="0" text="" dxfId="1">
      <formula>OR(ISNUMBER(SEARCH("REVISAR",G6)),ISNUMBER(SEARCH("AUMENTAR",G6)))</formula>
    </cfRule>
    <cfRule type="expression" priority="4" aboveAverage="0" equalAverage="0" bottom="0" percent="0" rank="0" text="" dxfId="2">
      <formula>OR(G6="CUMPLE",G6="OK",G6="VERIFICA")</formula>
    </cfRule>
  </conditionalFormatting>
  <hyperlinks>
    <hyperlink ref="H6" r:id="rId1" location="'Losas'!A1" display="Losas"/>
    <hyperlink ref="H7" r:id="rId2" location="'Vigas'!A1" display="Vigas"/>
    <hyperlink ref="H8" r:id="rId3" location="'Viguetas%20y%20Correas'!A1" display="Viguetas y Correas"/>
    <hyperlink ref="H9" r:id="rId4" location="'Columnas'!A1" display="Columnas"/>
    <hyperlink ref="H10" r:id="rId5" location="'Muros'!A1" display="Muros"/>
    <hyperlink ref="H11" r:id="rId6" location="'Fundaciones'!A1" display="Fundaciones"/>
    <hyperlink ref="H12" r:id="rId7" location="'Voladizos'!A1" display="Voladizos"/>
    <hyperlink ref="H13" r:id="rId8" location="'Sismo%202%20Distribucion'!A1" display="Sismo 2 Distribucion"/>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7857"/>
    <pageSetUpPr fitToPage="true"/>
  </sheetPr>
  <dimension ref="A1:E4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2"/>
    <col collapsed="false" customWidth="true" hidden="false" outlineLevel="0" max="4" min="4" style="0" width="13"/>
    <col collapsed="false" customWidth="true" hidden="false" outlineLevel="0" max="5" min="5" style="0" width="78"/>
  </cols>
  <sheetData>
    <row r="1" customFormat="false" ht="27.75" hidden="false" customHeight="true" outlineLevel="0" collapsed="false">
      <c r="A1" s="1" t="s">
        <v>93</v>
      </c>
      <c r="B1" s="1"/>
      <c r="C1" s="1"/>
      <c r="D1" s="1"/>
      <c r="E1" s="1"/>
    </row>
    <row r="2" customFormat="false" ht="30" hidden="false" customHeight="true" outlineLevel="0" collapsed="false">
      <c r="A2" s="2" t="s">
        <v>94</v>
      </c>
      <c r="B2" s="2"/>
      <c r="C2" s="2"/>
      <c r="D2" s="2"/>
      <c r="E2" s="2"/>
    </row>
    <row r="4" customFormat="false" ht="19.5" hidden="false" customHeight="true" outlineLevel="0" collapsed="false">
      <c r="B4" s="3" t="s">
        <v>95</v>
      </c>
      <c r="C4" s="3"/>
      <c r="D4" s="3"/>
      <c r="E4" s="3"/>
    </row>
    <row r="5" customFormat="false" ht="30" hidden="false" customHeight="true" outlineLevel="0" collapsed="false">
      <c r="B5" s="19" t="s">
        <v>96</v>
      </c>
      <c r="C5" s="5" t="s">
        <v>97</v>
      </c>
      <c r="D5" s="5"/>
    </row>
    <row r="6" customFormat="false" ht="16.5" hidden="false" customHeight="true" outlineLevel="0" collapsed="false">
      <c r="B6" s="19" t="s">
        <v>98</v>
      </c>
      <c r="C6" s="5" t="s">
        <v>99</v>
      </c>
      <c r="D6" s="5"/>
    </row>
    <row r="7" customFormat="false" ht="16.5" hidden="false" customHeight="true" outlineLevel="0" collapsed="false">
      <c r="B7" s="19" t="s">
        <v>100</v>
      </c>
      <c r="C7" s="5"/>
      <c r="D7" s="5"/>
    </row>
    <row r="8" customFormat="false" ht="16.5" hidden="false" customHeight="true" outlineLevel="0" collapsed="false">
      <c r="B8" s="19" t="s">
        <v>101</v>
      </c>
      <c r="C8" s="5"/>
      <c r="D8" s="5"/>
    </row>
    <row r="9" customFormat="false" ht="16.5" hidden="false" customHeight="true" outlineLevel="0" collapsed="false">
      <c r="B9" s="19" t="s">
        <v>102</v>
      </c>
      <c r="C9" s="5" t="s">
        <v>103</v>
      </c>
      <c r="D9" s="5"/>
    </row>
    <row r="10" customFormat="false" ht="16.5" hidden="false" customHeight="true" outlineLevel="0" collapsed="false">
      <c r="B10" s="19" t="s">
        <v>104</v>
      </c>
      <c r="C10" s="5" t="s">
        <v>105</v>
      </c>
      <c r="D10" s="5"/>
    </row>
    <row r="12" customFormat="false" ht="19.5" hidden="false" customHeight="true" outlineLevel="0" collapsed="false">
      <c r="B12" s="3" t="s">
        <v>106</v>
      </c>
      <c r="C12" s="3"/>
      <c r="D12" s="3"/>
      <c r="E12" s="3"/>
    </row>
    <row r="13" customFormat="false" ht="30" hidden="false" customHeight="true" outlineLevel="0" collapsed="false">
      <c r="B13" s="19" t="s">
        <v>107</v>
      </c>
      <c r="C13" s="20" t="s">
        <v>108</v>
      </c>
      <c r="D13" s="21"/>
      <c r="E13" s="6" t="s">
        <v>109</v>
      </c>
    </row>
    <row r="14" customFormat="false" ht="16.5" hidden="false" customHeight="true" outlineLevel="0" collapsed="false">
      <c r="B14" s="19" t="s">
        <v>110</v>
      </c>
      <c r="C14" s="22" t="n">
        <f aca="false">INDEX(Tablas!$L$19:$L$24,MATCH(C13,Tablas!$K$19:$K$24,0))</f>
        <v>25</v>
      </c>
      <c r="D14" s="21" t="s">
        <v>111</v>
      </c>
      <c r="E14" s="6"/>
    </row>
    <row r="15" customFormat="false" ht="16.5" hidden="false" customHeight="true" outlineLevel="0" collapsed="false">
      <c r="B15" s="19" t="s">
        <v>112</v>
      </c>
      <c r="C15" s="23" t="n">
        <f aca="false">4700*SQRT(C14)</f>
        <v>23500</v>
      </c>
      <c r="D15" s="21" t="s">
        <v>111</v>
      </c>
      <c r="E15" s="6" t="s">
        <v>113</v>
      </c>
    </row>
    <row r="16" customFormat="false" ht="16.5" hidden="false" customHeight="true" outlineLevel="0" collapsed="false">
      <c r="B16" s="19" t="s">
        <v>114</v>
      </c>
      <c r="C16" s="22" t="n">
        <f aca="false">IF(C14&lt;=30,0.85,MAX(0.65,0.85-0.05*(C14-30)/7))</f>
        <v>0.85</v>
      </c>
      <c r="D16" s="21" t="s">
        <v>115</v>
      </c>
      <c r="E16" s="6" t="s">
        <v>116</v>
      </c>
    </row>
    <row r="17" customFormat="false" ht="16.5" hidden="false" customHeight="true" outlineLevel="0" collapsed="false">
      <c r="B17" s="19" t="s">
        <v>117</v>
      </c>
      <c r="C17" s="24" t="n">
        <v>25</v>
      </c>
      <c r="D17" s="21" t="s">
        <v>118</v>
      </c>
      <c r="E17" s="6" t="s">
        <v>119</v>
      </c>
    </row>
    <row r="18" customFormat="false" ht="16.5" hidden="false" customHeight="true" outlineLevel="0" collapsed="false">
      <c r="B18" s="19" t="s">
        <v>120</v>
      </c>
      <c r="C18" s="24" t="n">
        <v>22</v>
      </c>
      <c r="D18" s="21" t="s">
        <v>118</v>
      </c>
      <c r="E18" s="6" t="s">
        <v>121</v>
      </c>
    </row>
    <row r="19" customFormat="false" ht="30" hidden="false" customHeight="true" outlineLevel="0" collapsed="false">
      <c r="B19" s="19" t="s">
        <v>122</v>
      </c>
      <c r="C19" s="24" t="n">
        <v>40</v>
      </c>
      <c r="D19" s="21" t="s">
        <v>123</v>
      </c>
      <c r="E19" s="6" t="s">
        <v>124</v>
      </c>
    </row>
    <row r="20" customFormat="false" ht="16.5" hidden="false" customHeight="true" outlineLevel="0" collapsed="false">
      <c r="B20" s="19" t="s">
        <v>125</v>
      </c>
      <c r="C20" s="24" t="n">
        <v>20</v>
      </c>
      <c r="D20" s="21" t="s">
        <v>123</v>
      </c>
      <c r="E20" s="6" t="s">
        <v>126</v>
      </c>
    </row>
    <row r="21" customFormat="false" ht="16.5" hidden="false" customHeight="true" outlineLevel="0" collapsed="false">
      <c r="B21" s="19" t="s">
        <v>127</v>
      </c>
      <c r="C21" s="24" t="n">
        <v>70</v>
      </c>
      <c r="D21" s="21" t="s">
        <v>123</v>
      </c>
      <c r="E21" s="6" t="s">
        <v>128</v>
      </c>
    </row>
    <row r="23" customFormat="false" ht="19.5" hidden="false" customHeight="true" outlineLevel="0" collapsed="false">
      <c r="B23" s="3" t="s">
        <v>129</v>
      </c>
      <c r="C23" s="3"/>
      <c r="D23" s="3"/>
      <c r="E23" s="3"/>
    </row>
    <row r="24" customFormat="false" ht="16.5" hidden="false" customHeight="true" outlineLevel="0" collapsed="false">
      <c r="B24" s="19" t="s">
        <v>130</v>
      </c>
      <c r="C24" s="24" t="s">
        <v>131</v>
      </c>
      <c r="D24" s="21"/>
      <c r="E24" s="6" t="s">
        <v>132</v>
      </c>
    </row>
    <row r="25" customFormat="false" ht="16.5" hidden="false" customHeight="true" outlineLevel="0" collapsed="false">
      <c r="B25" s="19" t="s">
        <v>133</v>
      </c>
      <c r="C25" s="14" t="n">
        <f aca="false">INDEX(Tablas!$L$27:$L$29,MATCH(C24,Tablas!$K$27:$K$29,0))</f>
        <v>420</v>
      </c>
      <c r="D25" s="21" t="s">
        <v>111</v>
      </c>
      <c r="E25" s="6"/>
    </row>
    <row r="26" customFormat="false" ht="16.5" hidden="false" customHeight="true" outlineLevel="0" collapsed="false">
      <c r="B26" s="19" t="s">
        <v>134</v>
      </c>
      <c r="C26" s="24" t="s">
        <v>131</v>
      </c>
      <c r="D26" s="21"/>
      <c r="E26" s="6" t="s">
        <v>132</v>
      </c>
    </row>
    <row r="27" customFormat="false" ht="16.5" hidden="false" customHeight="true" outlineLevel="0" collapsed="false">
      <c r="B27" s="19" t="s">
        <v>135</v>
      </c>
      <c r="C27" s="14" t="n">
        <f aca="false">INDEX(Tablas!$L$27:$L$29,MATCH(C26,Tablas!$K$27:$K$29,0))</f>
        <v>420</v>
      </c>
      <c r="D27" s="21" t="s">
        <v>111</v>
      </c>
      <c r="E27" s="6"/>
    </row>
    <row r="28" customFormat="false" ht="16.5" hidden="false" customHeight="true" outlineLevel="0" collapsed="false">
      <c r="B28" s="19" t="s">
        <v>136</v>
      </c>
      <c r="C28" s="25" t="n">
        <v>200000</v>
      </c>
      <c r="D28" s="21" t="s">
        <v>111</v>
      </c>
      <c r="E28" s="6" t="s">
        <v>137</v>
      </c>
    </row>
    <row r="30" customFormat="false" ht="19.5" hidden="false" customHeight="true" outlineLevel="0" collapsed="false">
      <c r="B30" s="3" t="s">
        <v>138</v>
      </c>
      <c r="C30" s="3"/>
      <c r="D30" s="3"/>
      <c r="E30" s="3"/>
    </row>
    <row r="31" customFormat="false" ht="16.5" hidden="false" customHeight="true" outlineLevel="0" collapsed="false">
      <c r="B31" s="19" t="s">
        <v>139</v>
      </c>
      <c r="C31" s="24" t="n">
        <v>150</v>
      </c>
      <c r="D31" s="21" t="s">
        <v>140</v>
      </c>
      <c r="E31" s="6" t="s">
        <v>141</v>
      </c>
    </row>
    <row r="32" customFormat="false" ht="16.5" hidden="false" customHeight="true" outlineLevel="0" collapsed="false">
      <c r="B32" s="19" t="s">
        <v>142</v>
      </c>
      <c r="C32" s="22" t="n">
        <f aca="false">C31/98.0665</f>
        <v>1.52957431946689</v>
      </c>
      <c r="D32" s="21" t="s">
        <v>143</v>
      </c>
      <c r="E32" s="6"/>
    </row>
    <row r="33" customFormat="false" ht="16.5" hidden="false" customHeight="true" outlineLevel="0" collapsed="false">
      <c r="B33" s="19" t="s">
        <v>144</v>
      </c>
      <c r="C33" s="24" t="n">
        <v>1</v>
      </c>
      <c r="D33" s="21" t="s">
        <v>145</v>
      </c>
      <c r="E33" s="6" t="s">
        <v>146</v>
      </c>
    </row>
    <row r="34" customFormat="false" ht="16.5" hidden="false" customHeight="true" outlineLevel="0" collapsed="false">
      <c r="B34" s="19" t="s">
        <v>147</v>
      </c>
      <c r="C34" s="24" t="n">
        <v>17</v>
      </c>
      <c r="D34" s="21" t="s">
        <v>118</v>
      </c>
      <c r="E34" s="6" t="s">
        <v>148</v>
      </c>
    </row>
    <row r="35" customFormat="false" ht="16.5" hidden="false" customHeight="true" outlineLevel="0" collapsed="false">
      <c r="B35" s="19" t="s">
        <v>149</v>
      </c>
      <c r="C35" s="24" t="n">
        <v>17</v>
      </c>
      <c r="D35" s="21" t="s">
        <v>118</v>
      </c>
      <c r="E35" s="6" t="s">
        <v>150</v>
      </c>
    </row>
    <row r="37" customFormat="false" ht="19.5" hidden="false" customHeight="true" outlineLevel="0" collapsed="false">
      <c r="B37" s="3" t="s">
        <v>151</v>
      </c>
      <c r="C37" s="3"/>
      <c r="D37" s="3"/>
      <c r="E37" s="3"/>
    </row>
    <row r="38" customFormat="false" ht="30" hidden="false" customHeight="true" outlineLevel="0" collapsed="false">
      <c r="B38" s="19" t="s">
        <v>152</v>
      </c>
      <c r="C38" s="26" t="s">
        <v>153</v>
      </c>
      <c r="D38" s="21"/>
      <c r="E38" s="6" t="s">
        <v>132</v>
      </c>
    </row>
    <row r="39" customFormat="false" ht="30" hidden="false" customHeight="true" outlineLevel="0" collapsed="false">
      <c r="B39" s="19" t="s">
        <v>154</v>
      </c>
      <c r="C39" s="24" t="s">
        <v>155</v>
      </c>
      <c r="D39" s="21"/>
      <c r="E39" s="6" t="s">
        <v>156</v>
      </c>
    </row>
    <row r="40" customFormat="false" ht="16.5" hidden="false" customHeight="true" outlineLevel="0" collapsed="false">
      <c r="B40" s="19" t="s">
        <v>157</v>
      </c>
      <c r="C40" s="22" t="n">
        <f aca="false">INDEX(Tablas!$L$50:$O$52,MATCH(C38,Tablas!$K$50:$K$52,0),MATCH(C39,Tablas!$L$48:$O$48,0))</f>
        <v>1.75</v>
      </c>
      <c r="D40" s="21" t="s">
        <v>111</v>
      </c>
      <c r="E40" s="6" t="s">
        <v>158</v>
      </c>
    </row>
    <row r="41" customFormat="false" ht="16.5" hidden="false" customHeight="true" outlineLevel="0" collapsed="false">
      <c r="B41" s="19" t="s">
        <v>159</v>
      </c>
      <c r="C41" s="22" t="n">
        <f aca="false">INDEX(Tablas!$L$55:$O$57,MATCH(C38,Tablas!$K$50:$K$52,0),MATCH(C39,Tablas!$L$48:$O$48,0))</f>
        <v>0.19</v>
      </c>
      <c r="D41" s="21" t="s">
        <v>111</v>
      </c>
      <c r="E41" s="6" t="s">
        <v>160</v>
      </c>
    </row>
    <row r="42" customFormat="false" ht="16.5" hidden="false" customHeight="true" outlineLevel="0" collapsed="false">
      <c r="B42" s="19" t="s">
        <v>161</v>
      </c>
      <c r="C42" s="23" t="n">
        <f aca="false">1200*C40</f>
        <v>2100</v>
      </c>
      <c r="D42" s="21" t="s">
        <v>111</v>
      </c>
      <c r="E42" s="6" t="s">
        <v>162</v>
      </c>
    </row>
    <row r="43" customFormat="false" ht="30" hidden="false" customHeight="true" outlineLevel="0" collapsed="false">
      <c r="B43" s="19" t="s">
        <v>163</v>
      </c>
      <c r="C43" s="23" t="n">
        <f aca="false">IF(C38="Ladrillos cerámicos macizos",0.2,0.1)*C42</f>
        <v>420</v>
      </c>
      <c r="D43" s="21" t="s">
        <v>111</v>
      </c>
      <c r="E43" s="6" t="s">
        <v>164</v>
      </c>
    </row>
    <row r="45" customFormat="false" ht="15.75" hidden="false" customHeight="true" outlineLevel="0" collapsed="false">
      <c r="B45" s="2" t="s">
        <v>165</v>
      </c>
      <c r="C45" s="2"/>
      <c r="D45" s="2"/>
      <c r="E45" s="2"/>
    </row>
  </sheetData>
  <mergeCells count="14">
    <mergeCell ref="A1:E1"/>
    <mergeCell ref="A2:E2"/>
    <mergeCell ref="B4:E4"/>
    <mergeCell ref="C5:D5"/>
    <mergeCell ref="C6:D6"/>
    <mergeCell ref="C7:D7"/>
    <mergeCell ref="C8:D8"/>
    <mergeCell ref="C9:D9"/>
    <mergeCell ref="C10:D10"/>
    <mergeCell ref="B12:E12"/>
    <mergeCell ref="B23:E23"/>
    <mergeCell ref="B30:E30"/>
    <mergeCell ref="B37:E37"/>
    <mergeCell ref="B45:E45"/>
  </mergeCells>
  <dataValidations count="5">
    <dataValidation allowBlank="true" error="Elegí un valor de la lista" errorStyle="stop" errorTitle="Valor no válido" operator="between" showDropDown="false" showErrorMessage="false" showInputMessage="false" sqref="C13" type="list">
      <formula1>Tablas!$K$19:$K$24</formula1>
      <formula2>0</formula2>
    </dataValidation>
    <dataValidation allowBlank="true" error="Elegí un valor de la lista" errorStyle="stop" errorTitle="Valor no válido" operator="between" showDropDown="false" showErrorMessage="false" showInputMessage="false" sqref="C24" type="list">
      <formula1>Tablas!$K$27:$K$29</formula1>
      <formula2>0</formula2>
    </dataValidation>
    <dataValidation allowBlank="true" error="Elegí un valor de la lista" errorStyle="stop" errorTitle="Valor no válido" operator="between" showDropDown="false" showErrorMessage="false" showInputMessage="false" sqref="C26" type="list">
      <formula1>Tablas!$K$27:$K$29</formula1>
      <formula2>0</formula2>
    </dataValidation>
    <dataValidation allowBlank="true" error="Elegí un valor de la lista" errorStyle="stop" errorTitle="Valor no válido" operator="between" showDropDown="false" showErrorMessage="false" showInputMessage="false" sqref="C38" type="list">
      <formula1>Tablas!$K$50:$K$52</formula1>
      <formula2>0</formula2>
    </dataValidation>
    <dataValidation allowBlank="true" error="Elegí un valor de la lista" errorStyle="stop" errorTitle="Valor no válido" operator="between" showDropDown="false" showErrorMessage="false" showInputMessage="false" sqref="C39" type="list">
      <formula1>"E,I,N,NA"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7857"/>
    <pageSetUpPr fitToPage="true"/>
  </sheetPr>
  <dimension ref="A1:J5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4"/>
    <col collapsed="false" customWidth="true" hidden="false" outlineLevel="0" max="4" min="3" style="0" width="11"/>
    <col collapsed="false" customWidth="true" hidden="false" outlineLevel="0" max="8" min="5" style="0" width="9"/>
    <col collapsed="false" customWidth="true" hidden="false" outlineLevel="0" max="9" min="9" style="0" width="14"/>
    <col collapsed="false" customWidth="true" hidden="false" outlineLevel="0" max="10" min="10" style="0" width="22"/>
  </cols>
  <sheetData>
    <row r="1" customFormat="false" ht="27.75" hidden="false" customHeight="true" outlineLevel="0" collapsed="false">
      <c r="A1" s="1" t="s">
        <v>166</v>
      </c>
      <c r="B1" s="1"/>
      <c r="C1" s="1"/>
      <c r="D1" s="1"/>
      <c r="E1" s="1"/>
      <c r="F1" s="1"/>
      <c r="G1" s="1"/>
      <c r="H1" s="1"/>
      <c r="I1" s="1"/>
      <c r="J1" s="1"/>
    </row>
    <row r="2" customFormat="false" ht="30" hidden="false" customHeight="true" outlineLevel="0" collapsed="false">
      <c r="A2" s="2" t="s">
        <v>167</v>
      </c>
      <c r="B2" s="2"/>
      <c r="C2" s="2"/>
      <c r="D2" s="2"/>
      <c r="E2" s="2"/>
      <c r="F2" s="2"/>
      <c r="G2" s="2"/>
      <c r="H2" s="2"/>
      <c r="I2" s="2"/>
      <c r="J2" s="2"/>
    </row>
    <row r="4" customFormat="false" ht="19.5" hidden="false" customHeight="true" outlineLevel="0" collapsed="false">
      <c r="B4" s="3" t="s">
        <v>168</v>
      </c>
      <c r="C4" s="3"/>
      <c r="D4" s="3"/>
      <c r="E4" s="3"/>
      <c r="F4" s="3"/>
      <c r="G4" s="3"/>
      <c r="H4" s="3"/>
      <c r="I4" s="3"/>
      <c r="J4" s="3"/>
    </row>
    <row r="5" customFormat="false" ht="42" hidden="false" customHeight="true" outlineLevel="0" collapsed="false">
      <c r="B5" s="11" t="s">
        <v>169</v>
      </c>
      <c r="C5" s="11" t="s">
        <v>170</v>
      </c>
      <c r="D5" s="11" t="s">
        <v>171</v>
      </c>
      <c r="E5" s="11" t="s">
        <v>172</v>
      </c>
      <c r="F5" s="11" t="s">
        <v>173</v>
      </c>
      <c r="G5" s="11" t="s">
        <v>174</v>
      </c>
      <c r="H5" s="11" t="s">
        <v>175</v>
      </c>
      <c r="I5" s="11" t="s">
        <v>176</v>
      </c>
      <c r="J5" s="11" t="s">
        <v>177</v>
      </c>
    </row>
    <row r="6" customFormat="false" ht="39.75" hidden="false" customHeight="true" outlineLevel="0" collapsed="false">
      <c r="B6" s="5" t="s">
        <v>178</v>
      </c>
      <c r="C6" s="27" t="n">
        <f aca="false">IF($B6="",0,N(INDEX(Tablas!$D$5:$D$300,MATCH($B6,Tablas!$B$5:$B$300,0))))</f>
        <v>0</v>
      </c>
      <c r="D6" s="27" t="n">
        <f aca="false">IF($B6="",0,N(INDEX(Tablas!$C$5:$C$300,MATCH($B6,Tablas!$B$5:$B$300,0))))</f>
        <v>0.1</v>
      </c>
      <c r="E6" s="28"/>
      <c r="F6" s="28"/>
      <c r="G6" s="28"/>
      <c r="H6" s="29" t="n">
        <v>0</v>
      </c>
      <c r="I6" s="22" t="n">
        <f aca="false">IF($B6="",0,IF(D6&gt;0,D6,IF(C6&gt;0,IF(AND(G6&gt;0,F6&gt;0),C6*E6*F6/G6,C6*E6),0))/COS(RADIANS(H6)))</f>
        <v>0.1</v>
      </c>
      <c r="J6" s="6" t="str">
        <f aca="false">IF(AND($B6&lt;&gt;"",I6=0),"Completar e [m]","")</f>
        <v/>
      </c>
    </row>
    <row r="7" customFormat="false" ht="39.75" hidden="false" customHeight="true" outlineLevel="0" collapsed="false">
      <c r="B7" s="5" t="s">
        <v>179</v>
      </c>
      <c r="C7" s="27" t="n">
        <f aca="false">IF($B7="",0,N(INDEX(Tablas!$D$5:$D$300,MATCH($B7,Tablas!$B$5:$B$300,0))))</f>
        <v>18</v>
      </c>
      <c r="D7" s="27" t="n">
        <f aca="false">IF($B7="",0,N(INDEX(Tablas!$C$5:$C$300,MATCH($B7,Tablas!$B$5:$B$300,0))))</f>
        <v>0</v>
      </c>
      <c r="E7" s="28" t="n">
        <v>0.08</v>
      </c>
      <c r="F7" s="28"/>
      <c r="G7" s="28"/>
      <c r="H7" s="29" t="n">
        <v>0</v>
      </c>
      <c r="I7" s="22" t="n">
        <f aca="false">IF($B7="",0,IF(D7&gt;0,D7,IF(C7&gt;0,IF(AND(G7&gt;0,F7&gt;0),C7*E7*F7/G7,C7*E7),0))/COS(RADIANS(H7)))</f>
        <v>1.44</v>
      </c>
      <c r="J7" s="6" t="str">
        <f aca="false">IF(AND($B7&lt;&gt;"",I7=0),"Completar e [m]","")</f>
        <v/>
      </c>
    </row>
    <row r="8" customFormat="false" ht="39.75" hidden="false" customHeight="true" outlineLevel="0" collapsed="false">
      <c r="B8" s="5" t="s">
        <v>180</v>
      </c>
      <c r="C8" s="27" t="n">
        <f aca="false">IF($B8="",0,N(INDEX(Tablas!$D$5:$D$300,MATCH($B8,Tablas!$B$5:$B$300,0))))</f>
        <v>21</v>
      </c>
      <c r="D8" s="27" t="n">
        <f aca="false">IF($B8="",0,N(INDEX(Tablas!$C$5:$C$300,MATCH($B8,Tablas!$B$5:$B$300,0))))</f>
        <v>0</v>
      </c>
      <c r="E8" s="28" t="n">
        <v>0.02</v>
      </c>
      <c r="F8" s="28"/>
      <c r="G8" s="28"/>
      <c r="H8" s="29" t="n">
        <v>0</v>
      </c>
      <c r="I8" s="22" t="n">
        <f aca="false">IF($B8="",0,IF(D8&gt;0,D8,IF(C8&gt;0,IF(AND(G8&gt;0,F8&gt;0),C8*E8*F8/G8,C8*E8),0))/COS(RADIANS(H8)))</f>
        <v>0.42</v>
      </c>
      <c r="J8" s="6" t="str">
        <f aca="false">IF(AND($B8&lt;&gt;"",I8=0),"Completar e [m]","")</f>
        <v/>
      </c>
    </row>
    <row r="9" customFormat="false" ht="39.75" hidden="false" customHeight="true" outlineLevel="0" collapsed="false">
      <c r="B9" s="5" t="s">
        <v>181</v>
      </c>
      <c r="C9" s="27" t="n">
        <f aca="false">IF($B9="",0,N(INDEX(Tablas!$D$5:$D$300,MATCH($B9,Tablas!$B$5:$B$300,0))))</f>
        <v>0</v>
      </c>
      <c r="D9" s="27" t="n">
        <f aca="false">IF($B9="",0,N(INDEX(Tablas!$C$5:$C$300,MATCH($B9,Tablas!$B$5:$B$300,0))))</f>
        <v>0.18</v>
      </c>
      <c r="E9" s="28"/>
      <c r="F9" s="28"/>
      <c r="G9" s="28"/>
      <c r="H9" s="29" t="n">
        <v>0</v>
      </c>
      <c r="I9" s="22" t="n">
        <f aca="false">IF($B9="",0,IF(D9&gt;0,D9,IF(C9&gt;0,IF(AND(G9&gt;0,F9&gt;0),C9*E9*F9/G9,C9*E9),0))/COS(RADIANS(H9)))</f>
        <v>0.18</v>
      </c>
      <c r="J9" s="6" t="str">
        <f aca="false">IF(AND($B9&lt;&gt;"",I9=0),"Completar e [m]","")</f>
        <v/>
      </c>
    </row>
    <row r="10" customFormat="false" ht="39.75" hidden="false" customHeight="true" outlineLevel="0" collapsed="false">
      <c r="B10" s="5"/>
      <c r="C10" s="27" t="n">
        <f aca="false">IF($B10="",0,N(INDEX(Tablas!$D$5:$D$300,MATCH($B10,Tablas!$B$5:$B$300,0))))</f>
        <v>0</v>
      </c>
      <c r="D10" s="27" t="n">
        <f aca="false">IF($B10="",0,N(INDEX(Tablas!$C$5:$C$300,MATCH($B10,Tablas!$B$5:$B$300,0))))</f>
        <v>0</v>
      </c>
      <c r="E10" s="28"/>
      <c r="F10" s="28"/>
      <c r="G10" s="28"/>
      <c r="H10" s="29"/>
      <c r="I10" s="22" t="n">
        <f aca="false">IF($B10="",0,IF(D10&gt;0,D10,IF(C10&gt;0,IF(AND(G10&gt;0,F10&gt;0),C10*E10*F10/G10,C10*E10),0))/COS(RADIANS(H10)))</f>
        <v>0</v>
      </c>
      <c r="J10" s="6" t="str">
        <f aca="false">IF(AND($B10&lt;&gt;"",I10=0),"Completar e [m]","")</f>
        <v/>
      </c>
    </row>
    <row r="11" customFormat="false" ht="39.75" hidden="false" customHeight="true" outlineLevel="0" collapsed="false">
      <c r="B11" s="5"/>
      <c r="C11" s="27" t="n">
        <f aca="false">IF($B11="",0,N(INDEX(Tablas!$D$5:$D$300,MATCH($B11,Tablas!$B$5:$B$300,0))))</f>
        <v>0</v>
      </c>
      <c r="D11" s="27" t="n">
        <f aca="false">IF($B11="",0,N(INDEX(Tablas!$C$5:$C$300,MATCH($B11,Tablas!$B$5:$B$300,0))))</f>
        <v>0</v>
      </c>
      <c r="E11" s="28"/>
      <c r="F11" s="28"/>
      <c r="G11" s="28"/>
      <c r="H11" s="29"/>
      <c r="I11" s="22" t="n">
        <f aca="false">IF($B11="",0,IF(D11&gt;0,D11,IF(C11&gt;0,IF(AND(G11&gt;0,F11&gt;0),C11*E11*F11/G11,C11*E11),0))/COS(RADIANS(H11)))</f>
        <v>0</v>
      </c>
      <c r="J11" s="6" t="str">
        <f aca="false">IF(AND($B11&lt;&gt;"",I11=0),"Completar e [m]","")</f>
        <v/>
      </c>
    </row>
    <row r="12" customFormat="false" ht="39.75" hidden="false" customHeight="true" outlineLevel="0" collapsed="false">
      <c r="B12" s="5"/>
      <c r="C12" s="27" t="n">
        <f aca="false">IF($B12="",0,N(INDEX(Tablas!$D$5:$D$300,MATCH($B12,Tablas!$B$5:$B$300,0))))</f>
        <v>0</v>
      </c>
      <c r="D12" s="27" t="n">
        <f aca="false">IF($B12="",0,N(INDEX(Tablas!$C$5:$C$300,MATCH($B12,Tablas!$B$5:$B$300,0))))</f>
        <v>0</v>
      </c>
      <c r="E12" s="28"/>
      <c r="F12" s="28"/>
      <c r="G12" s="28"/>
      <c r="H12" s="29"/>
      <c r="I12" s="22" t="n">
        <f aca="false">IF($B12="",0,IF(D12&gt;0,D12,IF(C12&gt;0,IF(AND(G12&gt;0,F12&gt;0),C12*E12*F12/G12,C12*E12),0))/COS(RADIANS(H12)))</f>
        <v>0</v>
      </c>
      <c r="J12" s="6" t="str">
        <f aca="false">IF(AND($B12&lt;&gt;"",I12=0),"Completar e [m]","")</f>
        <v/>
      </c>
    </row>
    <row r="13" customFormat="false" ht="39.75" hidden="false" customHeight="true" outlineLevel="0" collapsed="false">
      <c r="B13" s="5"/>
      <c r="C13" s="27" t="n">
        <f aca="false">IF($B13="",0,N(INDEX(Tablas!$D$5:$D$300,MATCH($B13,Tablas!$B$5:$B$300,0))))</f>
        <v>0</v>
      </c>
      <c r="D13" s="27" t="n">
        <f aca="false">IF($B13="",0,N(INDEX(Tablas!$C$5:$C$300,MATCH($B13,Tablas!$B$5:$B$300,0))))</f>
        <v>0</v>
      </c>
      <c r="E13" s="28"/>
      <c r="F13" s="28"/>
      <c r="G13" s="28"/>
      <c r="H13" s="29"/>
      <c r="I13" s="22" t="n">
        <f aca="false">IF($B13="",0,IF(D13&gt;0,D13,IF(C13&gt;0,IF(AND(G13&gt;0,F13&gt;0),C13*E13*F13/G13,C13*E13),0))/COS(RADIANS(H13)))</f>
        <v>0</v>
      </c>
      <c r="J13" s="6" t="str">
        <f aca="false">IF(AND($B13&lt;&gt;"",I13=0),"Completar e [m]","")</f>
        <v/>
      </c>
    </row>
    <row r="14" customFormat="false" ht="15" hidden="false" customHeight="false" outlineLevel="0" collapsed="false">
      <c r="B14" s="17" t="s">
        <v>182</v>
      </c>
    </row>
    <row r="15" customFormat="false" ht="30" hidden="false" customHeight="true" outlineLevel="0" collapsed="false">
      <c r="B15" s="5"/>
      <c r="C15" s="30" t="n">
        <f aca="false">IF($B15="",0,N(INDEX(Tablas!$W$5:$W$553,MATCH($B15,Tablas!$V$5:$V$553,0))))</f>
        <v>0</v>
      </c>
      <c r="D15" s="21" t="s">
        <v>183</v>
      </c>
      <c r="E15" s="21"/>
      <c r="F15" s="21"/>
      <c r="G15" s="28"/>
      <c r="H15" s="29" t="n">
        <v>0</v>
      </c>
      <c r="I15" s="22" t="n">
        <f aca="false">IF(OR($B15="",G15=0),0,C15/G15/COS(RADIANS(H15)))</f>
        <v>0</v>
      </c>
      <c r="J15" s="6" t="s">
        <v>184</v>
      </c>
    </row>
    <row r="16" customFormat="false" ht="16.5" hidden="false" customHeight="true" outlineLevel="0" collapsed="false">
      <c r="B16" s="17" t="s">
        <v>185</v>
      </c>
      <c r="I16" s="31" t="n">
        <f aca="false">SUM(I6:I13)+I15</f>
        <v>2.14</v>
      </c>
      <c r="J16" s="21" t="s">
        <v>186</v>
      </c>
    </row>
    <row r="18" customFormat="false" ht="19.5" hidden="false" customHeight="true" outlineLevel="0" collapsed="false">
      <c r="B18" s="3" t="s">
        <v>187</v>
      </c>
      <c r="C18" s="3"/>
      <c r="D18" s="3"/>
      <c r="E18" s="3"/>
      <c r="F18" s="3"/>
      <c r="G18" s="3"/>
      <c r="H18" s="3"/>
      <c r="I18" s="3"/>
      <c r="J18" s="3"/>
    </row>
    <row r="19" customFormat="false" ht="42" hidden="false" customHeight="true" outlineLevel="0" collapsed="false">
      <c r="B19" s="11" t="s">
        <v>169</v>
      </c>
      <c r="C19" s="11" t="s">
        <v>170</v>
      </c>
      <c r="D19" s="11" t="s">
        <v>171</v>
      </c>
      <c r="E19" s="11" t="s">
        <v>172</v>
      </c>
      <c r="F19" s="11" t="s">
        <v>173</v>
      </c>
      <c r="G19" s="11" t="s">
        <v>174</v>
      </c>
      <c r="H19" s="11" t="s">
        <v>175</v>
      </c>
      <c r="I19" s="11" t="s">
        <v>176</v>
      </c>
      <c r="J19" s="11" t="s">
        <v>177</v>
      </c>
    </row>
    <row r="20" customFormat="false" ht="39.75" hidden="false" customHeight="true" outlineLevel="0" collapsed="false">
      <c r="B20" s="5" t="s">
        <v>188</v>
      </c>
      <c r="C20" s="27" t="n">
        <f aca="false">IF($B20="",0,N(INDEX(Tablas!$D$5:$D$300,MATCH($B20,Tablas!$B$5:$B$300,0))))</f>
        <v>23</v>
      </c>
      <c r="D20" s="27" t="n">
        <f aca="false">IF($B20="",0,N(INDEX(Tablas!$C$5:$C$300,MATCH($B20,Tablas!$B$5:$B$300,0))))</f>
        <v>0.28</v>
      </c>
      <c r="E20" s="28"/>
      <c r="F20" s="28"/>
      <c r="G20" s="28"/>
      <c r="H20" s="29" t="n">
        <v>0</v>
      </c>
      <c r="I20" s="22" t="n">
        <f aca="false">IF($B20="",0,IF(D20&gt;0,D20,IF(C20&gt;0,IF(AND(G20&gt;0,F20&gt;0),C20*E20*F20/G20,C20*E20),0))/COS(RADIANS(H20)))</f>
        <v>0.28</v>
      </c>
      <c r="J20" s="6" t="str">
        <f aca="false">IF(AND($B20&lt;&gt;"",I20=0),"Completar e [m]","")</f>
        <v/>
      </c>
    </row>
    <row r="21" customFormat="false" ht="39.75" hidden="false" customHeight="true" outlineLevel="0" collapsed="false">
      <c r="B21" s="5" t="s">
        <v>179</v>
      </c>
      <c r="C21" s="27" t="n">
        <f aca="false">IF($B21="",0,N(INDEX(Tablas!$D$5:$D$300,MATCH($B21,Tablas!$B$5:$B$300,0))))</f>
        <v>18</v>
      </c>
      <c r="D21" s="27" t="n">
        <f aca="false">IF($B21="",0,N(INDEX(Tablas!$C$5:$C$300,MATCH($B21,Tablas!$B$5:$B$300,0))))</f>
        <v>0</v>
      </c>
      <c r="E21" s="28" t="n">
        <v>0.08</v>
      </c>
      <c r="F21" s="28"/>
      <c r="G21" s="28"/>
      <c r="H21" s="29" t="n">
        <v>0</v>
      </c>
      <c r="I21" s="22" t="n">
        <f aca="false">IF($B21="",0,IF(D21&gt;0,D21,IF(C21&gt;0,IF(AND(G21&gt;0,F21&gt;0),C21*E21*F21/G21,C21*E21),0))/COS(RADIANS(H21)))</f>
        <v>1.44</v>
      </c>
      <c r="J21" s="6" t="str">
        <f aca="false">IF(AND($B21&lt;&gt;"",I21=0),"Completar e [m]","")</f>
        <v/>
      </c>
    </row>
    <row r="22" customFormat="false" ht="39.75" hidden="false" customHeight="true" outlineLevel="0" collapsed="false">
      <c r="B22" s="5" t="s">
        <v>180</v>
      </c>
      <c r="C22" s="27" t="n">
        <f aca="false">IF($B22="",0,N(INDEX(Tablas!$D$5:$D$300,MATCH($B22,Tablas!$B$5:$B$300,0))))</f>
        <v>21</v>
      </c>
      <c r="D22" s="27" t="n">
        <f aca="false">IF($B22="",0,N(INDEX(Tablas!$C$5:$C$300,MATCH($B22,Tablas!$B$5:$B$300,0))))</f>
        <v>0</v>
      </c>
      <c r="E22" s="28" t="n">
        <v>0.02</v>
      </c>
      <c r="F22" s="28"/>
      <c r="G22" s="28"/>
      <c r="H22" s="29" t="n">
        <v>0</v>
      </c>
      <c r="I22" s="22" t="n">
        <f aca="false">IF($B22="",0,IF(D22&gt;0,D22,IF(C22&gt;0,IF(AND(G22&gt;0,F22&gt;0),C22*E22*F22/G22,C22*E22),0))/COS(RADIANS(H22)))</f>
        <v>0.42</v>
      </c>
      <c r="J22" s="6" t="str">
        <f aca="false">IF(AND($B22&lt;&gt;"",I22=0),"Completar e [m]","")</f>
        <v/>
      </c>
    </row>
    <row r="23" customFormat="false" ht="39.75" hidden="false" customHeight="true" outlineLevel="0" collapsed="false">
      <c r="B23" s="5" t="s">
        <v>181</v>
      </c>
      <c r="C23" s="27" t="n">
        <f aca="false">IF($B23="",0,N(INDEX(Tablas!$D$5:$D$300,MATCH($B23,Tablas!$B$5:$B$300,0))))</f>
        <v>0</v>
      </c>
      <c r="D23" s="27" t="n">
        <f aca="false">IF($B23="",0,N(INDEX(Tablas!$C$5:$C$300,MATCH($B23,Tablas!$B$5:$B$300,0))))</f>
        <v>0.18</v>
      </c>
      <c r="E23" s="28"/>
      <c r="F23" s="28"/>
      <c r="G23" s="28"/>
      <c r="H23" s="29" t="n">
        <v>0</v>
      </c>
      <c r="I23" s="22" t="n">
        <f aca="false">IF($B23="",0,IF(D23&gt;0,D23,IF(C23&gt;0,IF(AND(G23&gt;0,F23&gt;0),C23*E23*F23/G23,C23*E23),0))/COS(RADIANS(H23)))</f>
        <v>0.18</v>
      </c>
      <c r="J23" s="6" t="str">
        <f aca="false">IF(AND($B23&lt;&gt;"",I23=0),"Completar e [m]","")</f>
        <v/>
      </c>
    </row>
    <row r="24" customFormat="false" ht="39.75" hidden="false" customHeight="true" outlineLevel="0" collapsed="false">
      <c r="B24" s="5"/>
      <c r="C24" s="27" t="n">
        <f aca="false">IF($B24="",0,N(INDEX(Tablas!$D$5:$D$300,MATCH($B24,Tablas!$B$5:$B$300,0))))</f>
        <v>0</v>
      </c>
      <c r="D24" s="27" t="n">
        <f aca="false">IF($B24="",0,N(INDEX(Tablas!$C$5:$C$300,MATCH($B24,Tablas!$B$5:$B$300,0))))</f>
        <v>0</v>
      </c>
      <c r="E24" s="28"/>
      <c r="F24" s="28"/>
      <c r="G24" s="28"/>
      <c r="H24" s="29"/>
      <c r="I24" s="22" t="n">
        <f aca="false">IF($B24="",0,IF(D24&gt;0,D24,IF(C24&gt;0,IF(AND(G24&gt;0,F24&gt;0),C24*E24*F24/G24,C24*E24),0))/COS(RADIANS(H24)))</f>
        <v>0</v>
      </c>
      <c r="J24" s="6" t="str">
        <f aca="false">IF(AND($B24&lt;&gt;"",I24=0),"Completar e [m]","")</f>
        <v/>
      </c>
    </row>
    <row r="25" customFormat="false" ht="39.75" hidden="false" customHeight="true" outlineLevel="0" collapsed="false">
      <c r="B25" s="5"/>
      <c r="C25" s="27" t="n">
        <f aca="false">IF($B25="",0,N(INDEX(Tablas!$D$5:$D$300,MATCH($B25,Tablas!$B$5:$B$300,0))))</f>
        <v>0</v>
      </c>
      <c r="D25" s="27" t="n">
        <f aca="false">IF($B25="",0,N(INDEX(Tablas!$C$5:$C$300,MATCH($B25,Tablas!$B$5:$B$300,0))))</f>
        <v>0</v>
      </c>
      <c r="E25" s="28"/>
      <c r="F25" s="28"/>
      <c r="G25" s="28"/>
      <c r="H25" s="29"/>
      <c r="I25" s="22" t="n">
        <f aca="false">IF($B25="",0,IF(D25&gt;0,D25,IF(C25&gt;0,IF(AND(G25&gt;0,F25&gt;0),C25*E25*F25/G25,C25*E25),0))/COS(RADIANS(H25)))</f>
        <v>0</v>
      </c>
      <c r="J25" s="6" t="str">
        <f aca="false">IF(AND($B25&lt;&gt;"",I25=0),"Completar e [m]","")</f>
        <v/>
      </c>
    </row>
    <row r="26" customFormat="false" ht="39.75" hidden="false" customHeight="true" outlineLevel="0" collapsed="false">
      <c r="B26" s="5"/>
      <c r="C26" s="27" t="n">
        <f aca="false">IF($B26="",0,N(INDEX(Tablas!$D$5:$D$300,MATCH($B26,Tablas!$B$5:$B$300,0))))</f>
        <v>0</v>
      </c>
      <c r="D26" s="27" t="n">
        <f aca="false">IF($B26="",0,N(INDEX(Tablas!$C$5:$C$300,MATCH($B26,Tablas!$B$5:$B$300,0))))</f>
        <v>0</v>
      </c>
      <c r="E26" s="28"/>
      <c r="F26" s="28"/>
      <c r="G26" s="28"/>
      <c r="H26" s="29"/>
      <c r="I26" s="22" t="n">
        <f aca="false">IF($B26="",0,IF(D26&gt;0,D26,IF(C26&gt;0,IF(AND(G26&gt;0,F26&gt;0),C26*E26*F26/G26,C26*E26),0))/COS(RADIANS(H26)))</f>
        <v>0</v>
      </c>
      <c r="J26" s="6" t="str">
        <f aca="false">IF(AND($B26&lt;&gt;"",I26=0),"Completar e [m]","")</f>
        <v/>
      </c>
    </row>
    <row r="27" customFormat="false" ht="39.75" hidden="false" customHeight="true" outlineLevel="0" collapsed="false">
      <c r="B27" s="5"/>
      <c r="C27" s="27" t="n">
        <f aca="false">IF($B27="",0,N(INDEX(Tablas!$D$5:$D$300,MATCH($B27,Tablas!$B$5:$B$300,0))))</f>
        <v>0</v>
      </c>
      <c r="D27" s="27" t="n">
        <f aca="false">IF($B27="",0,N(INDEX(Tablas!$C$5:$C$300,MATCH($B27,Tablas!$B$5:$B$300,0))))</f>
        <v>0</v>
      </c>
      <c r="E27" s="28"/>
      <c r="F27" s="28"/>
      <c r="G27" s="28"/>
      <c r="H27" s="29"/>
      <c r="I27" s="22" t="n">
        <f aca="false">IF($B27="",0,IF(D27&gt;0,D27,IF(C27&gt;0,IF(AND(G27&gt;0,F27&gt;0),C27*E27*F27/G27,C27*E27),0))/COS(RADIANS(H27)))</f>
        <v>0</v>
      </c>
      <c r="J27" s="6" t="str">
        <f aca="false">IF(AND($B27&lt;&gt;"",I27=0),"Completar e [m]","")</f>
        <v/>
      </c>
    </row>
    <row r="28" customFormat="false" ht="16.5" hidden="false" customHeight="true" outlineLevel="0" collapsed="false">
      <c r="B28" s="17" t="s">
        <v>189</v>
      </c>
      <c r="I28" s="31" t="n">
        <f aca="false">SUM(I20:I27)</f>
        <v>2.32</v>
      </c>
      <c r="J28" s="21" t="s">
        <v>186</v>
      </c>
    </row>
    <row r="30" customFormat="false" ht="19.5" hidden="false" customHeight="true" outlineLevel="0" collapsed="false">
      <c r="B30" s="3" t="s">
        <v>190</v>
      </c>
      <c r="C30" s="3"/>
      <c r="D30" s="3"/>
      <c r="E30" s="3"/>
      <c r="F30" s="3"/>
      <c r="G30" s="3"/>
      <c r="H30" s="3"/>
      <c r="I30" s="3"/>
      <c r="J30" s="3"/>
    </row>
    <row r="31" customFormat="false" ht="30" hidden="false" customHeight="true" outlineLevel="0" collapsed="false">
      <c r="B31" s="11" t="s">
        <v>191</v>
      </c>
      <c r="C31" s="11"/>
      <c r="D31" s="11" t="s">
        <v>192</v>
      </c>
      <c r="E31" s="11"/>
      <c r="F31" s="11"/>
      <c r="G31" s="11"/>
      <c r="H31" s="11"/>
      <c r="I31" s="11" t="s">
        <v>193</v>
      </c>
      <c r="J31" s="11" t="s">
        <v>194</v>
      </c>
    </row>
    <row r="32" customFormat="false" ht="30" hidden="false" customHeight="true" outlineLevel="0" collapsed="false">
      <c r="B32" s="5" t="s">
        <v>195</v>
      </c>
      <c r="D32" s="27" t="n">
        <f aca="false">IF($B32="",0,N(INDEX(Tablas!$H$5:$H$77,MATCH($B32,Tablas!$G$5:$G$77,0))))</f>
        <v>1</v>
      </c>
      <c r="I32" s="31" t="n">
        <f aca="false">D32</f>
        <v>1</v>
      </c>
      <c r="J32" s="21" t="s">
        <v>196</v>
      </c>
    </row>
    <row r="33" customFormat="false" ht="30" hidden="false" customHeight="true" outlineLevel="0" collapsed="false">
      <c r="B33" s="5" t="s">
        <v>197</v>
      </c>
      <c r="D33" s="27" t="n">
        <f aca="false">IF($B33="",0,N(INDEX(Tablas!$H$5:$H$77,MATCH($B33,Tablas!$G$5:$G$77,0))))</f>
        <v>2</v>
      </c>
      <c r="I33" s="31" t="n">
        <f aca="false">D33</f>
        <v>2</v>
      </c>
      <c r="J33" s="21" t="s">
        <v>198</v>
      </c>
    </row>
    <row r="34" customFormat="false" ht="16.5" hidden="false" customHeight="true" outlineLevel="0" collapsed="false">
      <c r="B34" s="19" t="s">
        <v>199</v>
      </c>
      <c r="I34" s="32" t="n">
        <v>0</v>
      </c>
      <c r="J34" s="21" t="s">
        <v>200</v>
      </c>
    </row>
    <row r="35" customFormat="false" ht="16.5" hidden="false" customHeight="true" outlineLevel="0" collapsed="false">
      <c r="B35" s="19" t="s">
        <v>201</v>
      </c>
      <c r="I35" s="32" t="n">
        <v>0</v>
      </c>
      <c r="J35" s="21" t="s">
        <v>202</v>
      </c>
    </row>
    <row r="36" customFormat="false" ht="16.5" hidden="false" customHeight="true" outlineLevel="0" collapsed="false">
      <c r="B36" s="19" t="s">
        <v>203</v>
      </c>
      <c r="I36" s="32" t="n">
        <v>0.5</v>
      </c>
      <c r="J36" s="21" t="s">
        <v>204</v>
      </c>
    </row>
    <row r="38" customFormat="false" ht="19.5" hidden="false" customHeight="true" outlineLevel="0" collapsed="false">
      <c r="B38" s="3" t="s">
        <v>205</v>
      </c>
      <c r="C38" s="3"/>
      <c r="D38" s="3"/>
      <c r="E38" s="3"/>
      <c r="F38" s="3"/>
      <c r="G38" s="3"/>
      <c r="H38" s="3"/>
      <c r="I38" s="3"/>
      <c r="J38" s="3"/>
    </row>
    <row r="39" customFormat="false" ht="30" hidden="false" customHeight="true" outlineLevel="0" collapsed="false">
      <c r="B39" s="19" t="s">
        <v>206</v>
      </c>
      <c r="I39" s="28" t="n">
        <v>0.12</v>
      </c>
      <c r="J39" s="21" t="s">
        <v>207</v>
      </c>
    </row>
    <row r="40" customFormat="false" ht="30" hidden="false" customHeight="true" outlineLevel="0" collapsed="false">
      <c r="B40" s="11" t="s">
        <v>208</v>
      </c>
      <c r="C40" s="11"/>
      <c r="D40" s="11"/>
      <c r="E40" s="11"/>
      <c r="F40" s="11"/>
      <c r="G40" s="11"/>
      <c r="H40" s="11"/>
      <c r="I40" s="11" t="s">
        <v>209</v>
      </c>
      <c r="J40" s="11" t="s">
        <v>210</v>
      </c>
    </row>
    <row r="41" customFormat="false" ht="15" hidden="false" customHeight="false" outlineLevel="0" collapsed="false">
      <c r="B41" s="17" t="s">
        <v>211</v>
      </c>
      <c r="I41" s="22" t="n">
        <f aca="false">Cargas!$I$16+Datos!$C$17*Cargas!$I$39</f>
        <v>5.14</v>
      </c>
      <c r="J41" s="22" t="n">
        <f aca="false">Cargas!$I$28+Datos!$C$17*Cargas!$I$39</f>
        <v>5.32</v>
      </c>
    </row>
    <row r="42" customFormat="false" ht="15" hidden="false" customHeight="false" outlineLevel="0" collapsed="false">
      <c r="B42" s="19" t="s">
        <v>212</v>
      </c>
      <c r="I42" s="22" t="n">
        <f aca="false">1.4*(I41)</f>
        <v>7.196</v>
      </c>
      <c r="J42" s="22" t="n">
        <f aca="false">1.4*(J41)</f>
        <v>7.448</v>
      </c>
    </row>
    <row r="43" customFormat="false" ht="15" hidden="false" customHeight="false" outlineLevel="0" collapsed="false">
      <c r="B43" s="19" t="s">
        <v>213</v>
      </c>
      <c r="I43" s="22" t="n">
        <f aca="false">1.2*(I41)+1.6*Cargas!$I$34+0.5*Cargas!$I$32</f>
        <v>6.668</v>
      </c>
      <c r="J43" s="22" t="n">
        <f aca="false">1.2*(J41)+1.6*Cargas!$I$33+0.5*Cargas!$I$35</f>
        <v>9.584</v>
      </c>
    </row>
    <row r="44" customFormat="false" ht="15" hidden="false" customHeight="false" outlineLevel="0" collapsed="false">
      <c r="B44" s="19" t="s">
        <v>214</v>
      </c>
      <c r="I44" s="22" t="n">
        <f aca="false">1.2*(I41)+1.6*Cargas!$I$32+Cargas!$I$36*Cargas!$I$34</f>
        <v>7.768</v>
      </c>
      <c r="J44" s="22" t="n">
        <f aca="false">1.2*(J41)+1.6*Cargas!$I$35+Cargas!$I$36*Cargas!$I$33</f>
        <v>7.384</v>
      </c>
    </row>
    <row r="45" customFormat="false" ht="15" hidden="false" customHeight="false" outlineLevel="0" collapsed="false">
      <c r="B45" s="17" t="s">
        <v>215</v>
      </c>
      <c r="I45" s="31" t="n">
        <f aca="false">MAX(I42:I44)</f>
        <v>7.768</v>
      </c>
      <c r="J45" s="31" t="n">
        <f aca="false">MAX(J42:J44)</f>
        <v>9.584</v>
      </c>
    </row>
    <row r="46" customFormat="false" ht="15" hidden="false" customHeight="false" outlineLevel="0" collapsed="false">
      <c r="B46" s="19" t="s">
        <v>216</v>
      </c>
      <c r="I46" s="22" t="n">
        <f aca="false">I41+Cargas!$I$34+Cargas!$I$32</f>
        <v>6.14</v>
      </c>
      <c r="J46" s="22" t="n">
        <f aca="false">J41+Cargas!$I$33+Cargas!$I$35</f>
        <v>7.32</v>
      </c>
    </row>
    <row r="47" customFormat="false" ht="30" hidden="false" customHeight="true" outlineLevel="0" collapsed="false">
      <c r="B47" s="2" t="s">
        <v>217</v>
      </c>
      <c r="C47" s="2"/>
      <c r="D47" s="2"/>
      <c r="E47" s="2"/>
      <c r="F47" s="2"/>
      <c r="G47" s="2"/>
      <c r="H47" s="2"/>
      <c r="I47" s="2"/>
      <c r="J47" s="2"/>
    </row>
    <row r="49" customFormat="false" ht="19.5" hidden="false" customHeight="true" outlineLevel="0" collapsed="false">
      <c r="B49" s="3" t="s">
        <v>218</v>
      </c>
      <c r="C49" s="3"/>
      <c r="D49" s="3"/>
      <c r="E49" s="3"/>
      <c r="F49" s="3"/>
      <c r="G49" s="3"/>
      <c r="H49" s="3"/>
      <c r="I49" s="3"/>
      <c r="J49" s="3"/>
    </row>
    <row r="50" customFormat="false" ht="30" hidden="false" customHeight="true" outlineLevel="0" collapsed="false">
      <c r="B50" s="11" t="s">
        <v>219</v>
      </c>
      <c r="C50" s="11" t="s">
        <v>170</v>
      </c>
      <c r="D50" s="11"/>
      <c r="E50" s="11" t="s">
        <v>220</v>
      </c>
      <c r="F50" s="11" t="s">
        <v>221</v>
      </c>
      <c r="G50" s="11"/>
      <c r="H50" s="11"/>
      <c r="I50" s="11" t="s">
        <v>222</v>
      </c>
      <c r="J50" s="11" t="s">
        <v>177</v>
      </c>
    </row>
    <row r="51" customFormat="false" ht="39.75" hidden="false" customHeight="true" outlineLevel="0" collapsed="false">
      <c r="B51" s="5" t="s">
        <v>223</v>
      </c>
      <c r="C51" s="27" t="n">
        <f aca="false">IF($B51="",0,N(INDEX(Tablas!$D$5:$D$300,MATCH($B51,Tablas!$B$5:$B$300,0))))</f>
        <v>12</v>
      </c>
      <c r="E51" s="28" t="n">
        <v>0.18</v>
      </c>
      <c r="F51" s="32" t="n">
        <v>2.6</v>
      </c>
      <c r="I51" s="31" t="n">
        <f aca="false">C51*E51*F51</f>
        <v>5.616</v>
      </c>
      <c r="J51" s="21" t="s">
        <v>224</v>
      </c>
    </row>
    <row r="52" customFormat="false" ht="39.75" hidden="false" customHeight="true" outlineLevel="0" collapsed="false">
      <c r="B52" s="5"/>
      <c r="C52" s="27" t="n">
        <f aca="false">IF($B52="",0,N(INDEX(Tablas!$D$5:$D$300,MATCH($B52,Tablas!$B$5:$B$300,0))))</f>
        <v>0</v>
      </c>
      <c r="E52" s="28"/>
      <c r="F52" s="32"/>
      <c r="I52" s="31" t="n">
        <f aca="false">C52*E52*F52</f>
        <v>0</v>
      </c>
      <c r="J52" s="21" t="s">
        <v>224</v>
      </c>
    </row>
    <row r="53" customFormat="false" ht="39.75" hidden="false" customHeight="true" outlineLevel="0" collapsed="false">
      <c r="B53" s="5"/>
      <c r="C53" s="27" t="n">
        <f aca="false">IF($B53="",0,N(INDEX(Tablas!$D$5:$D$300,MATCH($B53,Tablas!$B$5:$B$300,0))))</f>
        <v>0</v>
      </c>
      <c r="E53" s="28"/>
      <c r="F53" s="32"/>
      <c r="I53" s="31" t="n">
        <f aca="false">C53*E53*F53</f>
        <v>0</v>
      </c>
      <c r="J53" s="21" t="s">
        <v>224</v>
      </c>
    </row>
    <row r="54" customFormat="false" ht="39.75" hidden="false" customHeight="true" outlineLevel="0" collapsed="false">
      <c r="B54" s="5"/>
      <c r="C54" s="27" t="n">
        <f aca="false">IF($B54="",0,N(INDEX(Tablas!$D$5:$D$300,MATCH($B54,Tablas!$B$5:$B$300,0))))</f>
        <v>0</v>
      </c>
      <c r="E54" s="28"/>
      <c r="F54" s="32"/>
      <c r="I54" s="31" t="n">
        <f aca="false">C54*E54*F54</f>
        <v>0</v>
      </c>
      <c r="J54" s="21" t="s">
        <v>224</v>
      </c>
    </row>
    <row r="55" customFormat="false" ht="39.75" hidden="false" customHeight="true" outlineLevel="0" collapsed="false">
      <c r="B55" s="5"/>
      <c r="C55" s="27" t="n">
        <f aca="false">IF($B55="",0,N(INDEX(Tablas!$D$5:$D$300,MATCH($B55,Tablas!$B$5:$B$300,0))))</f>
        <v>0</v>
      </c>
      <c r="E55" s="28"/>
      <c r="F55" s="32"/>
      <c r="I55" s="31" t="n">
        <f aca="false">C55*E55*F55</f>
        <v>0</v>
      </c>
      <c r="J55" s="21" t="s">
        <v>224</v>
      </c>
    </row>
  </sheetData>
  <mergeCells count="8">
    <mergeCell ref="A1:J1"/>
    <mergeCell ref="A2:J2"/>
    <mergeCell ref="B4:J4"/>
    <mergeCell ref="B18:J18"/>
    <mergeCell ref="B30:J30"/>
    <mergeCell ref="B38:J38"/>
    <mergeCell ref="B47:J47"/>
    <mergeCell ref="B49:J49"/>
  </mergeCells>
  <dataValidations count="6">
    <dataValidation allowBlank="true" error="Elegí un valor de la lista" errorStyle="stop" errorTitle="Valor no válido" operator="between" showDropDown="false" showErrorMessage="false" showInputMessage="false" sqref="B6:B13" type="list">
      <formula1>Tablas!$B$5:$B$300</formula1>
      <formula2>0</formula2>
    </dataValidation>
    <dataValidation allowBlank="true" error="Elegí un valor de la lista" errorStyle="stop" errorTitle="Valor no válido" operator="between" showDropDown="false" showErrorMessage="false" showInputMessage="false" sqref="B15" type="list">
      <formula1>Tablas!$V$5:$V$553</formula1>
      <formula2>0</formula2>
    </dataValidation>
    <dataValidation allowBlank="true" error="Elegí un valor de la lista" errorStyle="stop" errorTitle="Valor no válido" operator="between" showDropDown="false" showErrorMessage="false" showInputMessage="false" sqref="B20:B27" type="list">
      <formula1>Tablas!$B$5:$B$300</formula1>
      <formula2>0</formula2>
    </dataValidation>
    <dataValidation allowBlank="true" error="Elegí un valor de la lista" errorStyle="stop" errorTitle="Valor no válido" operator="between" showDropDown="false" showErrorMessage="false" showInputMessage="false" sqref="B32" type="list">
      <formula1>Tablas!$G$5:$G$77</formula1>
      <formula2>0</formula2>
    </dataValidation>
    <dataValidation allowBlank="true" error="Elegí un valor de la lista" errorStyle="stop" errorTitle="Valor no válido" operator="between" showDropDown="false" showErrorMessage="false" showInputMessage="false" sqref="B33" type="list">
      <formula1>Tablas!$G$5:$G$77</formula1>
      <formula2>0</formula2>
    </dataValidation>
    <dataValidation allowBlank="true" error="Elegí un valor de la lista" errorStyle="stop" errorTitle="Valor no válido" operator="between" showDropDown="false" showErrorMessage="false" showInputMessage="false" sqref="B51:B55" type="list">
      <formula1>Tablas!$B$5:$B$300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58F"/>
    <pageSetUpPr fitToPage="true"/>
  </sheetPr>
  <dimension ref="A1:O5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4" min="3" style="0" width="24"/>
    <col collapsed="false" customWidth="true" hidden="false" outlineLevel="0" max="13" min="5" style="0" width="11"/>
    <col collapsed="false" customWidth="true" hidden="false" outlineLevel="0" max="14" min="14" style="0" width="12"/>
    <col collapsed="false" customWidth="true" hidden="false" outlineLevel="0" max="15" min="15" style="0" width="13"/>
  </cols>
  <sheetData>
    <row r="1" customFormat="false" ht="27.75" hidden="false" customHeight="true" outlineLevel="0" collapsed="false">
      <c r="A1" s="1" t="s">
        <v>225</v>
      </c>
      <c r="B1" s="1"/>
      <c r="C1" s="1"/>
      <c r="D1" s="1"/>
      <c r="E1" s="1"/>
      <c r="F1" s="1"/>
      <c r="G1" s="1"/>
      <c r="H1" s="1"/>
      <c r="I1" s="1"/>
      <c r="J1" s="1"/>
      <c r="K1" s="1"/>
      <c r="L1" s="1"/>
      <c r="M1" s="1"/>
      <c r="N1" s="1"/>
      <c r="O1" s="1"/>
    </row>
    <row r="2" customFormat="false" ht="30" hidden="false" customHeight="true" outlineLevel="0" collapsed="false">
      <c r="A2" s="2" t="s">
        <v>226</v>
      </c>
      <c r="B2" s="2"/>
      <c r="C2" s="2"/>
      <c r="D2" s="2"/>
      <c r="E2" s="2"/>
      <c r="F2" s="2"/>
      <c r="G2" s="2"/>
      <c r="H2" s="2"/>
      <c r="I2" s="2"/>
      <c r="J2" s="2"/>
      <c r="K2" s="2"/>
      <c r="L2" s="2"/>
      <c r="M2" s="2"/>
      <c r="N2" s="2"/>
      <c r="O2" s="2"/>
    </row>
    <row r="4" customFormat="false" ht="19.5" hidden="false" customHeight="true" outlineLevel="0" collapsed="false">
      <c r="B4" s="3" t="s">
        <v>227</v>
      </c>
      <c r="C4" s="3"/>
      <c r="D4" s="3"/>
      <c r="E4" s="3"/>
      <c r="F4" s="3"/>
      <c r="G4" s="3"/>
      <c r="H4" s="3"/>
      <c r="I4" s="3"/>
      <c r="J4" s="3"/>
    </row>
    <row r="5" customFormat="false" ht="42" hidden="false" customHeight="true" outlineLevel="0" collapsed="false">
      <c r="B5" s="11" t="s">
        <v>228</v>
      </c>
      <c r="C5" s="11" t="s">
        <v>229</v>
      </c>
      <c r="D5" s="11" t="s">
        <v>230</v>
      </c>
      <c r="E5" s="11" t="s">
        <v>231</v>
      </c>
      <c r="F5" s="11" t="s">
        <v>232</v>
      </c>
      <c r="G5" s="11" t="s">
        <v>233</v>
      </c>
      <c r="H5" s="11" t="s">
        <v>234</v>
      </c>
      <c r="I5" s="11" t="s">
        <v>235</v>
      </c>
      <c r="J5" s="11" t="s">
        <v>236</v>
      </c>
    </row>
    <row r="6" customFormat="false" ht="30" hidden="false" customHeight="true" outlineLevel="0" collapsed="false">
      <c r="B6" s="24" t="s">
        <v>237</v>
      </c>
      <c r="C6" s="5" t="s">
        <v>238</v>
      </c>
      <c r="D6" s="5" t="s">
        <v>239</v>
      </c>
      <c r="E6" s="32" t="n">
        <v>3</v>
      </c>
      <c r="F6" s="33" t="n">
        <f aca="false">IF($B6="","",INDEX(Tablas!$L$43:$O$44,MATCH(C6,Tablas!$K$43:$K$44,0),MATCH(D6,Tablas!$L$42:$O$42,0)))</f>
        <v>20</v>
      </c>
      <c r="G6" s="30" t="n">
        <f aca="false">IF($B6="","",IF(Datos!$C$25=420,1,0.4+Datos!$C$25/700))</f>
        <v>1</v>
      </c>
      <c r="H6" s="33" t="n">
        <f aca="false">IF($B6="","",E6/F6*G6*100)</f>
        <v>15</v>
      </c>
      <c r="I6" s="34" t="n">
        <v>15</v>
      </c>
      <c r="J6" s="15" t="str">
        <f aca="false">IF($B6="","",IF(I6&gt;=H6,"CUMPLE","NO CUMPLE"))</f>
        <v>CUMPLE</v>
      </c>
    </row>
    <row r="7" customFormat="false" ht="30" hidden="false" customHeight="true" outlineLevel="0" collapsed="false">
      <c r="B7" s="24" t="s">
        <v>240</v>
      </c>
      <c r="C7" s="5" t="s">
        <v>238</v>
      </c>
      <c r="D7" s="5" t="s">
        <v>241</v>
      </c>
      <c r="E7" s="32" t="n">
        <v>3.2</v>
      </c>
      <c r="F7" s="33" t="n">
        <f aca="false">IF($B7="","",INDEX(Tablas!$L$43:$O$44,MATCH(C7,Tablas!$K$43:$K$44,0),MATCH(D7,Tablas!$L$42:$O$42,0)))</f>
        <v>24</v>
      </c>
      <c r="G7" s="30" t="n">
        <f aca="false">IF($B7="","",IF(Datos!$C$25=420,1,0.4+Datos!$C$25/700))</f>
        <v>1</v>
      </c>
      <c r="H7" s="33" t="n">
        <f aca="false">IF($B7="","",E7/F7*G7*100)</f>
        <v>13.3333333333333</v>
      </c>
      <c r="I7" s="34" t="n">
        <v>14</v>
      </c>
      <c r="J7" s="15" t="str">
        <f aca="false">IF($B7="","",IF(I7&gt;=H7,"CUMPLE","NO CUMPLE"))</f>
        <v>CUMPLE</v>
      </c>
    </row>
    <row r="8" customFormat="false" ht="30" hidden="false" customHeight="true" outlineLevel="0" collapsed="false">
      <c r="B8" s="24" t="s">
        <v>242</v>
      </c>
      <c r="C8" s="5" t="s">
        <v>238</v>
      </c>
      <c r="D8" s="5" t="s">
        <v>243</v>
      </c>
      <c r="E8" s="32" t="n">
        <v>1.2</v>
      </c>
      <c r="F8" s="33" t="n">
        <f aca="false">IF($B8="","",INDEX(Tablas!$L$43:$O$44,MATCH(C8,Tablas!$K$43:$K$44,0),MATCH(D8,Tablas!$L$42:$O$42,0)))</f>
        <v>10</v>
      </c>
      <c r="G8" s="30" t="n">
        <f aca="false">IF($B8="","",IF(Datos!$C$25=420,1,0.4+Datos!$C$25/700))</f>
        <v>1</v>
      </c>
      <c r="H8" s="33" t="n">
        <f aca="false">IF($B8="","",E8/F8*G8*100)</f>
        <v>12</v>
      </c>
      <c r="I8" s="34" t="n">
        <v>12</v>
      </c>
      <c r="J8" s="15" t="str">
        <f aca="false">IF($B8="","",IF(I8&gt;=H8,"CUMPLE","NO CUMPLE"))</f>
        <v>CUMPLE</v>
      </c>
    </row>
    <row r="9" customFormat="false" ht="15" hidden="false" customHeight="false" outlineLevel="0" collapsed="false">
      <c r="B9" s="24"/>
      <c r="C9" s="5"/>
      <c r="D9" s="5"/>
      <c r="E9" s="32"/>
      <c r="F9" s="33" t="str">
        <f aca="false">IF($B9="","",INDEX(Tablas!$L$43:$O$44,MATCH(C9,Tablas!$K$43:$K$44,0),MATCH(D9,Tablas!$L$42:$O$42,0)))</f>
        <v/>
      </c>
      <c r="G9" s="30" t="str">
        <f aca="false">IF($B9="","",IF(Datos!$C$25=420,1,0.4+Datos!$C$25/700))</f>
        <v/>
      </c>
      <c r="H9" s="33" t="str">
        <f aca="false">IF($B9="","",E9/F9*G9*100)</f>
        <v/>
      </c>
      <c r="I9" s="34"/>
      <c r="J9" s="15" t="str">
        <f aca="false">IF($B9="","",IF(I9&gt;=H9,"CUMPLE","NO CUMPLE"))</f>
        <v/>
      </c>
    </row>
    <row r="10" customFormat="false" ht="15" hidden="false" customHeight="false" outlineLevel="0" collapsed="false">
      <c r="B10" s="24"/>
      <c r="C10" s="5"/>
      <c r="D10" s="5"/>
      <c r="E10" s="32"/>
      <c r="F10" s="33" t="str">
        <f aca="false">IF($B10="","",INDEX(Tablas!$L$43:$O$44,MATCH(C10,Tablas!$K$43:$K$44,0),MATCH(D10,Tablas!$L$42:$O$42,0)))</f>
        <v/>
      </c>
      <c r="G10" s="30" t="str">
        <f aca="false">IF($B10="","",IF(Datos!$C$25=420,1,0.4+Datos!$C$25/700))</f>
        <v/>
      </c>
      <c r="H10" s="33" t="str">
        <f aca="false">IF($B10="","",E10/F10*G10*100)</f>
        <v/>
      </c>
      <c r="I10" s="34"/>
      <c r="J10" s="15" t="str">
        <f aca="false">IF($B10="","",IF(I10&gt;=H10,"CUMPLE","NO CUMPLE"))</f>
        <v/>
      </c>
    </row>
    <row r="11" customFormat="false" ht="15" hidden="false" customHeight="false" outlineLevel="0" collapsed="false">
      <c r="B11" s="24"/>
      <c r="C11" s="5"/>
      <c r="D11" s="5"/>
      <c r="E11" s="32"/>
      <c r="F11" s="33" t="str">
        <f aca="false">IF($B11="","",INDEX(Tablas!$L$43:$O$44,MATCH(C11,Tablas!$K$43:$K$44,0),MATCH(D11,Tablas!$L$42:$O$42,0)))</f>
        <v/>
      </c>
      <c r="G11" s="30" t="str">
        <f aca="false">IF($B11="","",IF(Datos!$C$25=420,1,0.4+Datos!$C$25/700))</f>
        <v/>
      </c>
      <c r="H11" s="33" t="str">
        <f aca="false">IF($B11="","",E11/F11*G11*100)</f>
        <v/>
      </c>
      <c r="I11" s="34"/>
      <c r="J11" s="15" t="str">
        <f aca="false">IF($B11="","",IF(I11&gt;=H11,"CUMPLE","NO CUMPLE"))</f>
        <v/>
      </c>
    </row>
    <row r="12" customFormat="false" ht="27.75" hidden="false" customHeight="true" outlineLevel="0" collapsed="false">
      <c r="B12" s="2" t="s">
        <v>244</v>
      </c>
      <c r="C12" s="2"/>
      <c r="D12" s="2"/>
      <c r="E12" s="2"/>
      <c r="F12" s="2"/>
      <c r="G12" s="2"/>
      <c r="H12" s="2"/>
      <c r="I12" s="2"/>
      <c r="J12" s="2"/>
    </row>
    <row r="14" customFormat="false" ht="19.5" hidden="false" customHeight="true" outlineLevel="0" collapsed="false">
      <c r="B14" s="3" t="s">
        <v>245</v>
      </c>
      <c r="C14" s="3"/>
      <c r="D14" s="3"/>
      <c r="E14" s="3"/>
      <c r="F14" s="3"/>
      <c r="G14" s="3"/>
      <c r="H14" s="3"/>
      <c r="I14" s="3"/>
      <c r="J14" s="3"/>
      <c r="K14" s="3"/>
      <c r="L14" s="3"/>
      <c r="M14" s="3"/>
      <c r="N14" s="3"/>
      <c r="O14" s="3"/>
    </row>
    <row r="15" customFormat="false" ht="51.75" hidden="false" customHeight="true" outlineLevel="0" collapsed="false">
      <c r="B15" s="11" t="s">
        <v>228</v>
      </c>
      <c r="C15" s="11" t="s">
        <v>246</v>
      </c>
      <c r="D15" s="11" t="s">
        <v>247</v>
      </c>
      <c r="E15" s="11" t="s">
        <v>248</v>
      </c>
      <c r="F15" s="11" t="s">
        <v>249</v>
      </c>
      <c r="G15" s="11" t="s">
        <v>250</v>
      </c>
      <c r="H15" s="11" t="s">
        <v>192</v>
      </c>
      <c r="I15" s="11" t="s">
        <v>251</v>
      </c>
      <c r="J15" s="11" t="s">
        <v>252</v>
      </c>
      <c r="K15" s="11" t="s">
        <v>253</v>
      </c>
      <c r="L15" s="11" t="s">
        <v>254</v>
      </c>
      <c r="M15" s="11" t="s">
        <v>255</v>
      </c>
      <c r="N15" s="11" t="s">
        <v>256</v>
      </c>
      <c r="O15" s="11" t="s">
        <v>257</v>
      </c>
    </row>
    <row r="16" customFormat="false" ht="16.5" hidden="false" customHeight="true" outlineLevel="0" collapsed="false">
      <c r="B16" s="35" t="str">
        <f aca="false">IF(B6="","",B6)</f>
        <v>L1</v>
      </c>
      <c r="C16" s="24" t="s">
        <v>258</v>
      </c>
      <c r="D16" s="5" t="s">
        <v>259</v>
      </c>
      <c r="E16" s="22" t="n">
        <f aca="false">IF($B16="","",E6)</f>
        <v>3</v>
      </c>
      <c r="F16" s="33" t="n">
        <f aca="false">IF($B16="","",I6)</f>
        <v>15</v>
      </c>
      <c r="G16" s="22" t="n">
        <f aca="false">IF($B16="","",IF(C16="TECHO",Cargas!$I$16,Cargas!$I$28)+Datos!$C$17*F16/100)</f>
        <v>5.89</v>
      </c>
      <c r="H16" s="22" t="n">
        <f aca="false">IF($B16="","",IF(C16="TECHO",Cargas!$I$34,Cargas!$I$33))</f>
        <v>0</v>
      </c>
      <c r="I16" s="22" t="n">
        <f aca="false">IF($B16="","",IF(C16="TECHO",Cargas!$I$32,Cargas!$I$35))</f>
        <v>1</v>
      </c>
      <c r="J16" s="31" t="n">
        <f aca="false">IF($B16="","",MAX(1.4*G16,1.2*G16+1.6*H16+0.5*I16,1.2*G16+1.6*I16+Cargas!$I$36*H16))</f>
        <v>8.668</v>
      </c>
      <c r="K16" s="22" t="n">
        <f aca="false">IF($B16="","",IF(D16="Voladizo",0,IF(D16="Simplemente apoyada",J16*E16^2/8,J16*E16^2/11)))</f>
        <v>9.7515</v>
      </c>
      <c r="L16" s="22" t="n">
        <f aca="false">IF($B16="","",IF(D16="Voladizo",J16*E16^2/2,IF(D16="Simplemente apoyada",0,J16*E16^2/9)))</f>
        <v>0</v>
      </c>
      <c r="M16" s="22" t="n">
        <f aca="false">IF($B16="","",IF(D16="Voladizo",J16*E16,IF(D16="Simplemente apoyada",J16*E16/2,1.15*J16*E16/2)))</f>
        <v>13.002</v>
      </c>
      <c r="N16" s="22" t="n">
        <f aca="false">IF($B16="","",IF(D16="Voladizo",J16*E16,IF(D16="Simplemente apoyada",J16*E16/2,0.425*J16*E16)))</f>
        <v>13.002</v>
      </c>
      <c r="O16" s="22" t="n">
        <f aca="false">IF($B16="","",IF(D16="Voladizo",J16*E16,IF(D16="Simplemente apoyada",J16*E16/2,1.15*J16*E16)))</f>
        <v>13.002</v>
      </c>
    </row>
    <row r="17" customFormat="false" ht="16.5" hidden="false" customHeight="true" outlineLevel="0" collapsed="false">
      <c r="B17" s="35" t="str">
        <f aca="false">IF(B7="","",B7)</f>
        <v>L2</v>
      </c>
      <c r="C17" s="24" t="s">
        <v>260</v>
      </c>
      <c r="D17" s="5" t="s">
        <v>261</v>
      </c>
      <c r="E17" s="22" t="n">
        <f aca="false">IF($B17="","",E7)</f>
        <v>3.2</v>
      </c>
      <c r="F17" s="33" t="n">
        <f aca="false">IF($B17="","",I7)</f>
        <v>14</v>
      </c>
      <c r="G17" s="22" t="n">
        <f aca="false">IF($B17="","",IF(C17="TECHO",Cargas!$I$16,Cargas!$I$28)+Datos!$C$17*F17/100)</f>
        <v>5.82</v>
      </c>
      <c r="H17" s="22" t="n">
        <f aca="false">IF($B17="","",IF(C17="TECHO",Cargas!$I$34,Cargas!$I$33))</f>
        <v>2</v>
      </c>
      <c r="I17" s="22" t="n">
        <f aca="false">IF($B17="","",IF(C17="TECHO",Cargas!$I$32,Cargas!$I$35))</f>
        <v>0</v>
      </c>
      <c r="J17" s="31" t="n">
        <f aca="false">IF($B17="","",MAX(1.4*G17,1.2*G17+1.6*H17+0.5*I17,1.2*G17+1.6*I17+Cargas!$I$36*H17))</f>
        <v>10.184</v>
      </c>
      <c r="K17" s="22" t="n">
        <f aca="false">IF($B17="","",IF(D17="Voladizo",0,IF(D17="Simplemente apoyada",J17*E17^2/8,J17*E17^2/11)))</f>
        <v>9.48037818181818</v>
      </c>
      <c r="L17" s="22" t="n">
        <f aca="false">IF($B17="","",IF(D17="Voladizo",J17*E17^2/2,IF(D17="Simplemente apoyada",0,J17*E17^2/9)))</f>
        <v>11.5871288888889</v>
      </c>
      <c r="M17" s="22" t="n">
        <f aca="false">IF($B17="","",IF(D17="Voladizo",J17*E17,IF(D17="Simplemente apoyada",J17*E17/2,1.15*J17*E17/2)))</f>
        <v>18.73856</v>
      </c>
      <c r="N17" s="22" t="n">
        <f aca="false">IF($B17="","",IF(D17="Voladizo",J17*E17,IF(D17="Simplemente apoyada",J17*E17/2,0.425*J17*E17)))</f>
        <v>13.85024</v>
      </c>
      <c r="O17" s="22" t="n">
        <f aca="false">IF($B17="","",IF(D17="Voladizo",J17*E17,IF(D17="Simplemente apoyada",J17*E17/2,1.15*J17*E17)))</f>
        <v>37.47712</v>
      </c>
    </row>
    <row r="18" customFormat="false" ht="16.5" hidden="false" customHeight="true" outlineLevel="0" collapsed="false">
      <c r="B18" s="35" t="str">
        <f aca="false">IF(B8="","",B8)</f>
        <v>L3</v>
      </c>
      <c r="C18" s="24" t="s">
        <v>258</v>
      </c>
      <c r="D18" s="5" t="s">
        <v>243</v>
      </c>
      <c r="E18" s="22" t="n">
        <f aca="false">IF($B18="","",E8)</f>
        <v>1.2</v>
      </c>
      <c r="F18" s="33" t="n">
        <f aca="false">IF($B18="","",I8)</f>
        <v>12</v>
      </c>
      <c r="G18" s="22" t="n">
        <f aca="false">IF($B18="","",IF(C18="TECHO",Cargas!$I$16,Cargas!$I$28)+Datos!$C$17*F18/100)</f>
        <v>5.14</v>
      </c>
      <c r="H18" s="22" t="n">
        <f aca="false">IF($B18="","",IF(C18="TECHO",Cargas!$I$34,Cargas!$I$33))</f>
        <v>0</v>
      </c>
      <c r="I18" s="22" t="n">
        <f aca="false">IF($B18="","",IF(C18="TECHO",Cargas!$I$32,Cargas!$I$35))</f>
        <v>1</v>
      </c>
      <c r="J18" s="31" t="n">
        <f aca="false">IF($B18="","",MAX(1.4*G18,1.2*G18+1.6*H18+0.5*I18,1.2*G18+1.6*I18+Cargas!$I$36*H18))</f>
        <v>7.768</v>
      </c>
      <c r="K18" s="22" t="n">
        <f aca="false">IF($B18="","",IF(D18="Voladizo",0,IF(D18="Simplemente apoyada",J18*E18^2/8,J18*E18^2/11)))</f>
        <v>0</v>
      </c>
      <c r="L18" s="22" t="n">
        <f aca="false">IF($B18="","",IF(D18="Voladizo",J18*E18^2/2,IF(D18="Simplemente apoyada",0,J18*E18^2/9)))</f>
        <v>5.59296</v>
      </c>
      <c r="M18" s="22" t="n">
        <f aca="false">IF($B18="","",IF(D18="Voladizo",J18*E18,IF(D18="Simplemente apoyada",J18*E18/2,1.15*J18*E18/2)))</f>
        <v>9.3216</v>
      </c>
      <c r="N18" s="22" t="n">
        <f aca="false">IF($B18="","",IF(D18="Voladizo",J18*E18,IF(D18="Simplemente apoyada",J18*E18/2,0.425*J18*E18)))</f>
        <v>9.3216</v>
      </c>
      <c r="O18" s="22" t="n">
        <f aca="false">IF($B18="","",IF(D18="Voladizo",J18*E18,IF(D18="Simplemente apoyada",J18*E18/2,1.15*J18*E18)))</f>
        <v>9.3216</v>
      </c>
    </row>
    <row r="19" customFormat="false" ht="15" hidden="false" customHeight="false" outlineLevel="0" collapsed="false">
      <c r="B19" s="35" t="str">
        <f aca="false">IF(B9="","",B9)</f>
        <v/>
      </c>
      <c r="C19" s="24"/>
      <c r="D19" s="5"/>
      <c r="E19" s="22" t="str">
        <f aca="false">IF($B19="","",E9)</f>
        <v/>
      </c>
      <c r="F19" s="33" t="str">
        <f aca="false">IF($B19="","",I9)</f>
        <v/>
      </c>
      <c r="G19" s="22" t="str">
        <f aca="false">IF($B19="","",IF(C19="TECHO",Cargas!$I$16,Cargas!$I$28)+Datos!$C$17*F19/100)</f>
        <v/>
      </c>
      <c r="H19" s="22" t="str">
        <f aca="false">IF($B19="","",IF(C19="TECHO",Cargas!$I$34,Cargas!$I$33))</f>
        <v/>
      </c>
      <c r="I19" s="22" t="str">
        <f aca="false">IF($B19="","",IF(C19="TECHO",Cargas!$I$32,Cargas!$I$35))</f>
        <v/>
      </c>
      <c r="J19" s="31" t="str">
        <f aca="false">IF($B19="","",MAX(1.4*G19,1.2*G19+1.6*H19+0.5*I19,1.2*G19+1.6*I19+Cargas!$I$36*H19))</f>
        <v/>
      </c>
      <c r="K19" s="22" t="str">
        <f aca="false">IF($B19="","",IF(D19="Voladizo",0,IF(D19="Simplemente apoyada",J19*E19^2/8,J19*E19^2/11)))</f>
        <v/>
      </c>
      <c r="L19" s="22" t="str">
        <f aca="false">IF($B19="","",IF(D19="Voladizo",J19*E19^2/2,IF(D19="Simplemente apoyada",0,J19*E19^2/9)))</f>
        <v/>
      </c>
      <c r="M19" s="22" t="str">
        <f aca="false">IF($B19="","",IF(D19="Voladizo",J19*E19,IF(D19="Simplemente apoyada",J19*E19/2,1.15*J19*E19/2)))</f>
        <v/>
      </c>
      <c r="N19" s="22" t="str">
        <f aca="false">IF($B19="","",IF(D19="Voladizo",J19*E19,IF(D19="Simplemente apoyada",J19*E19/2,0.425*J19*E19)))</f>
        <v/>
      </c>
      <c r="O19" s="22" t="str">
        <f aca="false">IF($B19="","",IF(D19="Voladizo",J19*E19,IF(D19="Simplemente apoyada",J19*E19/2,1.15*J19*E19)))</f>
        <v/>
      </c>
    </row>
    <row r="20" customFormat="false" ht="15" hidden="false" customHeight="false" outlineLevel="0" collapsed="false">
      <c r="B20" s="35" t="str">
        <f aca="false">IF(B10="","",B10)</f>
        <v/>
      </c>
      <c r="C20" s="24"/>
      <c r="D20" s="5"/>
      <c r="E20" s="22" t="str">
        <f aca="false">IF($B20="","",E10)</f>
        <v/>
      </c>
      <c r="F20" s="33" t="str">
        <f aca="false">IF($B20="","",I10)</f>
        <v/>
      </c>
      <c r="G20" s="22" t="str">
        <f aca="false">IF($B20="","",IF(C20="TECHO",Cargas!$I$16,Cargas!$I$28)+Datos!$C$17*F20/100)</f>
        <v/>
      </c>
      <c r="H20" s="22" t="str">
        <f aca="false">IF($B20="","",IF(C20="TECHO",Cargas!$I$34,Cargas!$I$33))</f>
        <v/>
      </c>
      <c r="I20" s="22" t="str">
        <f aca="false">IF($B20="","",IF(C20="TECHO",Cargas!$I$32,Cargas!$I$35))</f>
        <v/>
      </c>
      <c r="J20" s="31" t="str">
        <f aca="false">IF($B20="","",MAX(1.4*G20,1.2*G20+1.6*H20+0.5*I20,1.2*G20+1.6*I20+Cargas!$I$36*H20))</f>
        <v/>
      </c>
      <c r="K20" s="22" t="str">
        <f aca="false">IF($B20="","",IF(D20="Voladizo",0,IF(D20="Simplemente apoyada",J20*E20^2/8,J20*E20^2/11)))</f>
        <v/>
      </c>
      <c r="L20" s="22" t="str">
        <f aca="false">IF($B20="","",IF(D20="Voladizo",J20*E20^2/2,IF(D20="Simplemente apoyada",0,J20*E20^2/9)))</f>
        <v/>
      </c>
      <c r="M20" s="22" t="str">
        <f aca="false">IF($B20="","",IF(D20="Voladizo",J20*E20,IF(D20="Simplemente apoyada",J20*E20/2,1.15*J20*E20/2)))</f>
        <v/>
      </c>
      <c r="N20" s="22" t="str">
        <f aca="false">IF($B20="","",IF(D20="Voladizo",J20*E20,IF(D20="Simplemente apoyada",J20*E20/2,0.425*J20*E20)))</f>
        <v/>
      </c>
      <c r="O20" s="22" t="str">
        <f aca="false">IF($B20="","",IF(D20="Voladizo",J20*E20,IF(D20="Simplemente apoyada",J20*E20/2,1.15*J20*E20)))</f>
        <v/>
      </c>
    </row>
    <row r="21" customFormat="false" ht="15" hidden="false" customHeight="false" outlineLevel="0" collapsed="false">
      <c r="B21" s="35" t="str">
        <f aca="false">IF(B11="","",B11)</f>
        <v/>
      </c>
      <c r="C21" s="24"/>
      <c r="D21" s="5"/>
      <c r="E21" s="22" t="str">
        <f aca="false">IF($B21="","",E11)</f>
        <v/>
      </c>
      <c r="F21" s="33" t="str">
        <f aca="false">IF($B21="","",I11)</f>
        <v/>
      </c>
      <c r="G21" s="22" t="str">
        <f aca="false">IF($B21="","",IF(C21="TECHO",Cargas!$I$16,Cargas!$I$28)+Datos!$C$17*F21/100)</f>
        <v/>
      </c>
      <c r="H21" s="22" t="str">
        <f aca="false">IF($B21="","",IF(C21="TECHO",Cargas!$I$34,Cargas!$I$33))</f>
        <v/>
      </c>
      <c r="I21" s="22" t="str">
        <f aca="false">IF($B21="","",IF(C21="TECHO",Cargas!$I$32,Cargas!$I$35))</f>
        <v/>
      </c>
      <c r="J21" s="31" t="str">
        <f aca="false">IF($B21="","",MAX(1.4*G21,1.2*G21+1.6*H21+0.5*I21,1.2*G21+1.6*I21+Cargas!$I$36*H21))</f>
        <v/>
      </c>
      <c r="K21" s="22" t="str">
        <f aca="false">IF($B21="","",IF(D21="Voladizo",0,IF(D21="Simplemente apoyada",J21*E21^2/8,J21*E21^2/11)))</f>
        <v/>
      </c>
      <c r="L21" s="22" t="str">
        <f aca="false">IF($B21="","",IF(D21="Voladizo",J21*E21^2/2,IF(D21="Simplemente apoyada",0,J21*E21^2/9)))</f>
        <v/>
      </c>
      <c r="M21" s="22" t="str">
        <f aca="false">IF($B21="","",IF(D21="Voladizo",J21*E21,IF(D21="Simplemente apoyada",J21*E21/2,1.15*J21*E21/2)))</f>
        <v/>
      </c>
      <c r="N21" s="22" t="str">
        <f aca="false">IF($B21="","",IF(D21="Voladizo",J21*E21,IF(D21="Simplemente apoyada",J21*E21/2,0.425*J21*E21)))</f>
        <v/>
      </c>
      <c r="O21" s="22" t="str">
        <f aca="false">IF($B21="","",IF(D21="Voladizo",J21*E21,IF(D21="Simplemente apoyada",J21*E21/2,1.15*J21*E21)))</f>
        <v/>
      </c>
    </row>
    <row r="22" customFormat="false" ht="40.5" hidden="false" customHeight="true" outlineLevel="0" collapsed="false">
      <c r="B22" s="2" t="s">
        <v>262</v>
      </c>
      <c r="C22" s="2"/>
      <c r="D22" s="2"/>
      <c r="E22" s="2"/>
      <c r="F22" s="2"/>
      <c r="G22" s="2"/>
      <c r="H22" s="2"/>
      <c r="I22" s="2"/>
      <c r="J22" s="2"/>
      <c r="K22" s="2"/>
      <c r="L22" s="2"/>
      <c r="M22" s="2"/>
      <c r="N22" s="2"/>
      <c r="O22" s="2"/>
    </row>
    <row r="24" customFormat="false" ht="19.5" hidden="false" customHeight="true" outlineLevel="0" collapsed="false">
      <c r="B24" s="3" t="s">
        <v>263</v>
      </c>
      <c r="C24" s="3"/>
      <c r="D24" s="3"/>
      <c r="E24" s="3"/>
      <c r="F24" s="3"/>
      <c r="G24" s="3"/>
      <c r="H24" s="3"/>
      <c r="I24" s="3"/>
      <c r="J24" s="3"/>
      <c r="K24" s="3"/>
      <c r="L24" s="3"/>
      <c r="M24" s="3"/>
      <c r="N24" s="3"/>
    </row>
    <row r="25" customFormat="false" ht="43.5" hidden="false" customHeight="true" outlineLevel="0" collapsed="false">
      <c r="B25" s="11" t="s">
        <v>228</v>
      </c>
      <c r="C25" s="11" t="s">
        <v>264</v>
      </c>
      <c r="D25" s="11" t="s">
        <v>265</v>
      </c>
      <c r="E25" s="11" t="s">
        <v>266</v>
      </c>
      <c r="F25" s="11" t="s">
        <v>267</v>
      </c>
      <c r="G25" s="11" t="s">
        <v>268</v>
      </c>
      <c r="H25" s="11" t="s">
        <v>269</v>
      </c>
      <c r="I25" s="11" t="s">
        <v>270</v>
      </c>
      <c r="J25" s="11" t="s">
        <v>271</v>
      </c>
      <c r="K25" s="11" t="s">
        <v>272</v>
      </c>
      <c r="L25" s="11" t="s">
        <v>273</v>
      </c>
      <c r="M25" s="11" t="s">
        <v>274</v>
      </c>
      <c r="N25" s="11" t="s">
        <v>236</v>
      </c>
    </row>
    <row r="26" customFormat="false" ht="15" hidden="false" customHeight="false" outlineLevel="0" collapsed="false">
      <c r="B26" s="35" t="str">
        <f aca="false">IF(B16="","",B16)</f>
        <v>L1</v>
      </c>
      <c r="C26" s="33" t="n">
        <f aca="false">IF($B26="","",F16-Datos!$C$20/10-I26/20)</f>
        <v>12.5</v>
      </c>
      <c r="D26" s="22" t="n">
        <f aca="false">IF($B26="","",K16)</f>
        <v>9.7515</v>
      </c>
      <c r="E26" s="30" t="n">
        <f aca="false">IF($B26="","",IF(D26=0,0,D26*10^6/(0.9*1000*(C26*10)^2)))</f>
        <v>0.69344</v>
      </c>
      <c r="F26" s="36" t="n">
        <f aca="false">IF($B26="","",IF(1-2*E26/(0.85*Datos!$C$14)&lt;0,"AUMENTAR h",0.85*Datos!$C$14/Datos!$C$25*(1-SQRT(1-2*E26/(0.85*Datos!$C$14)))))</f>
        <v>0.00167890316375277</v>
      </c>
      <c r="G26" s="22" t="n">
        <f aca="false">IF($B26="","",IF(ISNUMBER(F26),F26*1000*C26*10/100,"AUMENTAR h"))</f>
        <v>2.09862895469096</v>
      </c>
      <c r="H26" s="22" t="n">
        <f aca="false">IF($B26="","",IF(Datos!$C$25&lt;=350,0.002,MAX(0.0014,0.0018*420/Datos!$C$25))*1000*F16*10/100)</f>
        <v>2.7</v>
      </c>
      <c r="I26" s="29" t="n">
        <v>10</v>
      </c>
      <c r="J26" s="34" t="n">
        <v>15</v>
      </c>
      <c r="K26" s="22" t="n">
        <f aca="false">IF($B26="","",IF(OR(I26="",J26=""),"",PI()*I26^2/4/J26))</f>
        <v>5.23598775598299</v>
      </c>
      <c r="L26" s="22" t="n">
        <f aca="false">IF($B26="","",IF(K26="","",0.9*K26*100*Datos!$C$25*(C26*10-K26*100*Datos!$C$25/(0.85*Datos!$C$14*1000)/2)/10^6))</f>
        <v>23.7159255491654</v>
      </c>
      <c r="M26" s="14" t="n">
        <f aca="false">IF($B26="","",MIN(3*F16,45))</f>
        <v>45</v>
      </c>
      <c r="N26" s="15" t="str">
        <f aca="false">IF($B26="","",IF(D26=0,"–",IF(NOT(ISNUMBER(G26)),"AUMENTAR h",IF(K26="","REVISAR",IF(AND(K26&gt;=G26,K26&gt;=H26,L26&gt;=D26,J26&lt;=M26),"CUMPLE","NO CUMPLE")))))</f>
        <v>CUMPLE</v>
      </c>
    </row>
    <row r="27" customFormat="false" ht="15" hidden="false" customHeight="false" outlineLevel="0" collapsed="false">
      <c r="B27" s="35" t="str">
        <f aca="false">IF(B17="","",B17)</f>
        <v>L2</v>
      </c>
      <c r="C27" s="33" t="n">
        <f aca="false">IF($B27="","",F17-Datos!$C$20/10-I27/20)</f>
        <v>11.5</v>
      </c>
      <c r="D27" s="22" t="n">
        <f aca="false">IF($B27="","",K17)</f>
        <v>9.48037818181818</v>
      </c>
      <c r="E27" s="30" t="n">
        <f aca="false">IF($B27="","",IF(D27=0,0,D27*10^6/(0.9*1000*(C27*10)^2)))</f>
        <v>0.796503102862271</v>
      </c>
      <c r="F27" s="36" t="n">
        <f aca="false">IF($B27="","",IF(1-2*E27/(0.85*Datos!$C$14)&lt;0,"AUMENTAR h",0.85*Datos!$C$14/Datos!$C$25*(1-SQRT(1-2*E27/(0.85*Datos!$C$14)))))</f>
        <v>0.00193337561405003</v>
      </c>
      <c r="G27" s="22" t="n">
        <f aca="false">IF($B27="","",IF(ISNUMBER(F27),F27*1000*C27*10/100,"AUMENTAR h"))</f>
        <v>2.22338195615754</v>
      </c>
      <c r="H27" s="22" t="n">
        <f aca="false">IF($B27="","",IF(Datos!$C$25&lt;=350,0.002,MAX(0.0014,0.0018*420/Datos!$C$25))*1000*F17*10/100)</f>
        <v>2.52</v>
      </c>
      <c r="I27" s="29" t="n">
        <v>10</v>
      </c>
      <c r="J27" s="34" t="n">
        <v>15</v>
      </c>
      <c r="K27" s="22" t="n">
        <f aca="false">IF($B27="","",IF(OR(I27="",J27=""),"",PI()*I27^2/4/J27))</f>
        <v>5.23598775598299</v>
      </c>
      <c r="L27" s="22" t="n">
        <f aca="false">IF($B27="","",IF(K27="","",0.9*K27*100*Datos!$C$25*(C27*10-K27*100*Datos!$C$25/(0.85*Datos!$C$14*1000)/2)/10^6))</f>
        <v>21.7367221774038</v>
      </c>
      <c r="M27" s="14" t="n">
        <f aca="false">IF($B27="","",MIN(3*F17,45))</f>
        <v>42</v>
      </c>
      <c r="N27" s="15" t="str">
        <f aca="false">IF($B27="","",IF(D27=0,"–",IF(NOT(ISNUMBER(G27)),"AUMENTAR h",IF(K27="","REVISAR",IF(AND(K27&gt;=G27,K27&gt;=H27,L27&gt;=D27,J27&lt;=M27),"CUMPLE","NO CUMPLE")))))</f>
        <v>CUMPLE</v>
      </c>
    </row>
    <row r="28" customFormat="false" ht="15" hidden="false" customHeight="false" outlineLevel="0" collapsed="false">
      <c r="B28" s="35" t="str">
        <f aca="false">IF(B18="","",B18)</f>
        <v>L3</v>
      </c>
      <c r="C28" s="33" t="n">
        <f aca="false">IF($B28="","",F18-Datos!$C$20/10-I28/20)</f>
        <v>10</v>
      </c>
      <c r="D28" s="22" t="n">
        <f aca="false">IF($B28="","",K18)</f>
        <v>0</v>
      </c>
      <c r="E28" s="30" t="n">
        <f aca="false">IF($B28="","",IF(D28=0,0,D28*10^6/(0.9*1000*(C28*10)^2)))</f>
        <v>0</v>
      </c>
      <c r="F28" s="36" t="n">
        <f aca="false">IF($B28="","",IF(1-2*E28/(0.85*Datos!$C$14)&lt;0,"AUMENTAR h",0.85*Datos!$C$14/Datos!$C$25*(1-SQRT(1-2*E28/(0.85*Datos!$C$14)))))</f>
        <v>0</v>
      </c>
      <c r="G28" s="22" t="n">
        <f aca="false">IF($B28="","",IF(ISNUMBER(F28),F28*1000*C28*10/100,"AUMENTAR h"))</f>
        <v>0</v>
      </c>
      <c r="H28" s="22" t="n">
        <f aca="false">IF($B28="","",IF(Datos!$C$25&lt;=350,0.002,MAX(0.0014,0.0018*420/Datos!$C$25))*1000*F18*10/100)</f>
        <v>2.16</v>
      </c>
      <c r="I28" s="29"/>
      <c r="J28" s="34"/>
      <c r="K28" s="22" t="str">
        <f aca="false">IF($B28="","",IF(OR(I28="",J28=""),"",PI()*I28^2/4/J28))</f>
        <v/>
      </c>
      <c r="L28" s="22" t="str">
        <f aca="false">IF($B28="","",IF(K28="","",0.9*K28*100*Datos!$C$25*(C28*10-K28*100*Datos!$C$25/(0.85*Datos!$C$14*1000)/2)/10^6))</f>
        <v/>
      </c>
      <c r="M28" s="14" t="n">
        <f aca="false">IF($B28="","",MIN(3*F18,45))</f>
        <v>36</v>
      </c>
      <c r="N28" s="15" t="str">
        <f aca="false">IF($B28="","",IF(D28=0,"–",IF(NOT(ISNUMBER(G28)),"AUMENTAR h",IF(K28="","REVISAR",IF(AND(K28&gt;=G28,K28&gt;=H28,L28&gt;=D28,J28&lt;=M28),"CUMPLE","NO CUMPLE")))))</f>
        <v>–</v>
      </c>
    </row>
    <row r="29" customFormat="false" ht="15" hidden="false" customHeight="false" outlineLevel="0" collapsed="false">
      <c r="B29" s="35" t="str">
        <f aca="false">IF(B19="","",B19)</f>
        <v/>
      </c>
      <c r="C29" s="33" t="str">
        <f aca="false">IF($B29="","",F19-Datos!$C$20/10-I29/20)</f>
        <v/>
      </c>
      <c r="D29" s="22" t="str">
        <f aca="false">IF($B29="","",K19)</f>
        <v/>
      </c>
      <c r="E29" s="30" t="str">
        <f aca="false">IF($B29="","",IF(D29=0,0,D29*10^6/(0.9*1000*(C29*10)^2)))</f>
        <v/>
      </c>
      <c r="F29" s="36" t="str">
        <f aca="false">IF($B29="","",IF(1-2*E29/(0.85*Datos!$C$14)&lt;0,"AUMENTAR h",0.85*Datos!$C$14/Datos!$C$25*(1-SQRT(1-2*E29/(0.85*Datos!$C$14)))))</f>
        <v/>
      </c>
      <c r="G29" s="22" t="str">
        <f aca="false">IF($B29="","",IF(ISNUMBER(F29),F29*1000*C29*10/100,"AUMENTAR h"))</f>
        <v/>
      </c>
      <c r="H29" s="22" t="str">
        <f aca="false">IF($B29="","",IF(Datos!$C$25&lt;=350,0.002,MAX(0.0014,0.0018*420/Datos!$C$25))*1000*F19*10/100)</f>
        <v/>
      </c>
      <c r="I29" s="29"/>
      <c r="J29" s="34"/>
      <c r="K29" s="22" t="str">
        <f aca="false">IF($B29="","",IF(OR(I29="",J29=""),"",PI()*I29^2/4/J29))</f>
        <v/>
      </c>
      <c r="L29" s="22" t="str">
        <f aca="false">IF($B29="","",IF(K29="","",0.9*K29*100*Datos!$C$25*(C29*10-K29*100*Datos!$C$25/(0.85*Datos!$C$14*1000)/2)/10^6))</f>
        <v/>
      </c>
      <c r="M29" s="14" t="str">
        <f aca="false">IF($B29="","",MIN(3*F19,45))</f>
        <v/>
      </c>
      <c r="N29" s="15" t="str">
        <f aca="false">IF($B29="","",IF(D29=0,"–",IF(NOT(ISNUMBER(G29)),"AUMENTAR h",IF(K29="","REVISAR",IF(AND(K29&gt;=G29,K29&gt;=H29,L29&gt;=D29,J29&lt;=M29),"CUMPLE","NO CUMPLE")))))</f>
        <v/>
      </c>
    </row>
    <row r="30" customFormat="false" ht="15" hidden="false" customHeight="false" outlineLevel="0" collapsed="false">
      <c r="B30" s="35" t="str">
        <f aca="false">IF(B20="","",B20)</f>
        <v/>
      </c>
      <c r="C30" s="33" t="str">
        <f aca="false">IF($B30="","",F20-Datos!$C$20/10-I30/20)</f>
        <v/>
      </c>
      <c r="D30" s="22" t="str">
        <f aca="false">IF($B30="","",K20)</f>
        <v/>
      </c>
      <c r="E30" s="30" t="str">
        <f aca="false">IF($B30="","",IF(D30=0,0,D30*10^6/(0.9*1000*(C30*10)^2)))</f>
        <v/>
      </c>
      <c r="F30" s="36" t="str">
        <f aca="false">IF($B30="","",IF(1-2*E30/(0.85*Datos!$C$14)&lt;0,"AUMENTAR h",0.85*Datos!$C$14/Datos!$C$25*(1-SQRT(1-2*E30/(0.85*Datos!$C$14)))))</f>
        <v/>
      </c>
      <c r="G30" s="22" t="str">
        <f aca="false">IF($B30="","",IF(ISNUMBER(F30),F30*1000*C30*10/100,"AUMENTAR h"))</f>
        <v/>
      </c>
      <c r="H30" s="22" t="str">
        <f aca="false">IF($B30="","",IF(Datos!$C$25&lt;=350,0.002,MAX(0.0014,0.0018*420/Datos!$C$25))*1000*F20*10/100)</f>
        <v/>
      </c>
      <c r="I30" s="29"/>
      <c r="J30" s="34"/>
      <c r="K30" s="22" t="str">
        <f aca="false">IF($B30="","",IF(OR(I30="",J30=""),"",PI()*I30^2/4/J30))</f>
        <v/>
      </c>
      <c r="L30" s="22" t="str">
        <f aca="false">IF($B30="","",IF(K30="","",0.9*K30*100*Datos!$C$25*(C30*10-K30*100*Datos!$C$25/(0.85*Datos!$C$14*1000)/2)/10^6))</f>
        <v/>
      </c>
      <c r="M30" s="14" t="str">
        <f aca="false">IF($B30="","",MIN(3*F20,45))</f>
        <v/>
      </c>
      <c r="N30" s="15" t="str">
        <f aca="false">IF($B30="","",IF(D30=0,"–",IF(NOT(ISNUMBER(G30)),"AUMENTAR h",IF(K30="","REVISAR",IF(AND(K30&gt;=G30,K30&gt;=H30,L30&gt;=D30,J30&lt;=M30),"CUMPLE","NO CUMPLE")))))</f>
        <v/>
      </c>
    </row>
    <row r="31" customFormat="false" ht="15" hidden="false" customHeight="false" outlineLevel="0" collapsed="false">
      <c r="B31" s="35" t="str">
        <f aca="false">IF(B21="","",B21)</f>
        <v/>
      </c>
      <c r="C31" s="33" t="str">
        <f aca="false">IF($B31="","",F21-Datos!$C$20/10-I31/20)</f>
        <v/>
      </c>
      <c r="D31" s="22" t="str">
        <f aca="false">IF($B31="","",K21)</f>
        <v/>
      </c>
      <c r="E31" s="30" t="str">
        <f aca="false">IF($B31="","",IF(D31=0,0,D31*10^6/(0.9*1000*(C31*10)^2)))</f>
        <v/>
      </c>
      <c r="F31" s="36" t="str">
        <f aca="false">IF($B31="","",IF(1-2*E31/(0.85*Datos!$C$14)&lt;0,"AUMENTAR h",0.85*Datos!$C$14/Datos!$C$25*(1-SQRT(1-2*E31/(0.85*Datos!$C$14)))))</f>
        <v/>
      </c>
      <c r="G31" s="22" t="str">
        <f aca="false">IF($B31="","",IF(ISNUMBER(F31),F31*1000*C31*10/100,"AUMENTAR h"))</f>
        <v/>
      </c>
      <c r="H31" s="22" t="str">
        <f aca="false">IF($B31="","",IF(Datos!$C$25&lt;=350,0.002,MAX(0.0014,0.0018*420/Datos!$C$25))*1000*F21*10/100)</f>
        <v/>
      </c>
      <c r="I31" s="29"/>
      <c r="J31" s="34"/>
      <c r="K31" s="22" t="str">
        <f aca="false">IF($B31="","",IF(OR(I31="",J31=""),"",PI()*I31^2/4/J31))</f>
        <v/>
      </c>
      <c r="L31" s="22" t="str">
        <f aca="false">IF($B31="","",IF(K31="","",0.9*K31*100*Datos!$C$25*(C31*10-K31*100*Datos!$C$25/(0.85*Datos!$C$14*1000)/2)/10^6))</f>
        <v/>
      </c>
      <c r="M31" s="14" t="str">
        <f aca="false">IF($B31="","",MIN(3*F21,45))</f>
        <v/>
      </c>
      <c r="N31" s="15" t="str">
        <f aca="false">IF($B31="","",IF(D31=0,"–",IF(NOT(ISNUMBER(G31)),"AUMENTAR h",IF(K31="","REVISAR",IF(AND(K31&gt;=G31,K31&gt;=H31,L31&gt;=D31,J31&lt;=M31),"CUMPLE","NO CUMPLE")))))</f>
        <v/>
      </c>
    </row>
    <row r="32" customFormat="false" ht="27.75" hidden="false" customHeight="true" outlineLevel="0" collapsed="false">
      <c r="B32" s="2" t="s">
        <v>275</v>
      </c>
      <c r="C32" s="2"/>
      <c r="D32" s="2"/>
      <c r="E32" s="2"/>
      <c r="F32" s="2"/>
      <c r="G32" s="2"/>
      <c r="H32" s="2"/>
      <c r="I32" s="2"/>
      <c r="J32" s="2"/>
      <c r="K32" s="2"/>
      <c r="L32" s="2"/>
      <c r="M32" s="2"/>
      <c r="N32" s="2"/>
    </row>
    <row r="34" customFormat="false" ht="19.5" hidden="false" customHeight="true" outlineLevel="0" collapsed="false">
      <c r="B34" s="3" t="s">
        <v>276</v>
      </c>
      <c r="C34" s="3"/>
      <c r="D34" s="3"/>
      <c r="E34" s="3"/>
      <c r="F34" s="3"/>
      <c r="G34" s="3"/>
      <c r="H34" s="3"/>
      <c r="I34" s="3"/>
      <c r="J34" s="3"/>
      <c r="K34" s="3"/>
      <c r="L34" s="3"/>
      <c r="M34" s="3"/>
      <c r="N34" s="3"/>
    </row>
    <row r="35" customFormat="false" ht="43.5" hidden="false" customHeight="true" outlineLevel="0" collapsed="false">
      <c r="B35" s="11" t="s">
        <v>228</v>
      </c>
      <c r="C35" s="11" t="s">
        <v>264</v>
      </c>
      <c r="D35" s="11" t="s">
        <v>265</v>
      </c>
      <c r="E35" s="11" t="s">
        <v>266</v>
      </c>
      <c r="F35" s="11" t="s">
        <v>267</v>
      </c>
      <c r="G35" s="11" t="s">
        <v>268</v>
      </c>
      <c r="H35" s="11" t="s">
        <v>269</v>
      </c>
      <c r="I35" s="11" t="s">
        <v>270</v>
      </c>
      <c r="J35" s="11" t="s">
        <v>271</v>
      </c>
      <c r="K35" s="11" t="s">
        <v>272</v>
      </c>
      <c r="L35" s="11" t="s">
        <v>273</v>
      </c>
      <c r="M35" s="11" t="s">
        <v>274</v>
      </c>
      <c r="N35" s="11" t="s">
        <v>236</v>
      </c>
    </row>
    <row r="36" customFormat="false" ht="15" hidden="false" customHeight="false" outlineLevel="0" collapsed="false">
      <c r="B36" s="35" t="str">
        <f aca="false">IF(B16="","",B16)</f>
        <v>L1</v>
      </c>
      <c r="C36" s="33" t="n">
        <f aca="false">IF($B36="","",F16-Datos!$C$20/10-I36/20)</f>
        <v>13</v>
      </c>
      <c r="D36" s="22" t="n">
        <f aca="false">IF($B36="","",L16)</f>
        <v>0</v>
      </c>
      <c r="E36" s="30" t="n">
        <f aca="false">IF($B36="","",IF(D36=0,0,D36*10^6/(0.9*1000*(C36*10)^2)))</f>
        <v>0</v>
      </c>
      <c r="F36" s="36" t="n">
        <f aca="false">IF($B36="","",IF(1-2*E36/(0.85*Datos!$C$14)&lt;0,"AUMENTAR h",0.85*Datos!$C$14/Datos!$C$25*(1-SQRT(1-2*E36/(0.85*Datos!$C$14)))))</f>
        <v>0</v>
      </c>
      <c r="G36" s="22" t="n">
        <f aca="false">IF($B36="","",IF(ISNUMBER(F36),F36*1000*C36*10/100,"AUMENTAR h"))</f>
        <v>0</v>
      </c>
      <c r="H36" s="22" t="n">
        <f aca="false">IF($B36="","",IF(Datos!$C$25&lt;=350,0.002,MAX(0.0014,0.0018*420/Datos!$C$25))*1000*F16*10/100)</f>
        <v>2.7</v>
      </c>
      <c r="I36" s="29"/>
      <c r="J36" s="34"/>
      <c r="K36" s="22" t="str">
        <f aca="false">IF($B36="","",IF(OR(I36="",J36=""),"",PI()*I36^2/4/J36))</f>
        <v/>
      </c>
      <c r="L36" s="22" t="str">
        <f aca="false">IF($B36="","",IF(K36="","",0.9*K36*100*Datos!$C$25*(C36*10-K36*100*Datos!$C$25/(0.85*Datos!$C$14*1000)/2)/10^6))</f>
        <v/>
      </c>
      <c r="M36" s="14" t="n">
        <f aca="false">IF($B36="","",MIN(3*F16,45))</f>
        <v>45</v>
      </c>
      <c r="N36" s="15" t="str">
        <f aca="false">IF($B36="","",IF(D36=0,"–",IF(NOT(ISNUMBER(G36)),"AUMENTAR h",IF(K36="","REVISAR",IF(AND(K36&gt;=G36,K36&gt;=H36,L36&gt;=D36,J36&lt;=M36),"CUMPLE","NO CUMPLE")))))</f>
        <v>–</v>
      </c>
    </row>
    <row r="37" customFormat="false" ht="15" hidden="false" customHeight="false" outlineLevel="0" collapsed="false">
      <c r="B37" s="35" t="str">
        <f aca="false">IF(B17="","",B17)</f>
        <v>L2</v>
      </c>
      <c r="C37" s="33" t="n">
        <f aca="false">IF($B37="","",F17-Datos!$C$20/10-I37/20)</f>
        <v>11.5</v>
      </c>
      <c r="D37" s="22" t="n">
        <f aca="false">IF($B37="","",L17)</f>
        <v>11.5871288888889</v>
      </c>
      <c r="E37" s="30" t="n">
        <f aca="false">IF($B37="","",IF(D37=0,0,D37*10^6/(0.9*1000*(C37*10)^2)))</f>
        <v>0.973503792387221</v>
      </c>
      <c r="F37" s="36" t="n">
        <f aca="false">IF($B37="","",IF(1-2*E37/(0.85*Datos!$C$14)&lt;0,"AUMENTAR h",0.85*Datos!$C$14/Datos!$C$25*(1-SQRT(1-2*E37/(0.85*Datos!$C$14)))))</f>
        <v>0.00237354032143624</v>
      </c>
      <c r="G37" s="22" t="n">
        <f aca="false">IF($B37="","",IF(ISNUMBER(F37),F37*1000*C37*10/100,"AUMENTAR h"))</f>
        <v>2.72957136965168</v>
      </c>
      <c r="H37" s="22" t="n">
        <f aca="false">IF($B37="","",IF(Datos!$C$25&lt;=350,0.002,MAX(0.0014,0.0018*420/Datos!$C$25))*1000*F17*10/100)</f>
        <v>2.52</v>
      </c>
      <c r="I37" s="29" t="n">
        <v>10</v>
      </c>
      <c r="J37" s="34" t="n">
        <v>15</v>
      </c>
      <c r="K37" s="22" t="n">
        <f aca="false">IF($B37="","",IF(OR(I37="",J37=""),"",PI()*I37^2/4/J37))</f>
        <v>5.23598775598299</v>
      </c>
      <c r="L37" s="22" t="n">
        <f aca="false">IF($B37="","",IF(K37="","",0.9*K37*100*Datos!$C$25*(C37*10-K37*100*Datos!$C$25/(0.85*Datos!$C$14*1000)/2)/10^6))</f>
        <v>21.7367221774038</v>
      </c>
      <c r="M37" s="14" t="n">
        <f aca="false">IF($B37="","",MIN(3*F17,45))</f>
        <v>42</v>
      </c>
      <c r="N37" s="15" t="str">
        <f aca="false">IF($B37="","",IF(D37=0,"–",IF(NOT(ISNUMBER(G37)),"AUMENTAR h",IF(K37="","REVISAR",IF(AND(K37&gt;=G37,K37&gt;=H37,L37&gt;=D37,J37&lt;=M37),"CUMPLE","NO CUMPLE")))))</f>
        <v>CUMPLE</v>
      </c>
    </row>
    <row r="38" customFormat="false" ht="15" hidden="false" customHeight="false" outlineLevel="0" collapsed="false">
      <c r="B38" s="35" t="str">
        <f aca="false">IF(B18="","",B18)</f>
        <v>L3</v>
      </c>
      <c r="C38" s="33" t="n">
        <f aca="false">IF($B38="","",F18-Datos!$C$20/10-I38/20)</f>
        <v>9.5</v>
      </c>
      <c r="D38" s="22" t="n">
        <f aca="false">IF($B38="","",L18)</f>
        <v>5.59296</v>
      </c>
      <c r="E38" s="30" t="n">
        <f aca="false">IF($B38="","",IF(D38=0,0,D38*10^6/(0.9*1000*(C38*10)^2)))</f>
        <v>0.688576177285319</v>
      </c>
      <c r="F38" s="36" t="n">
        <f aca="false">IF($B38="","",IF(1-2*E38/(0.85*Datos!$C$14)&lt;0,"AUMENTAR h",0.85*Datos!$C$14/Datos!$C$25*(1-SQRT(1-2*E38/(0.85*Datos!$C$14)))))</f>
        <v>0.00166692663344616</v>
      </c>
      <c r="G38" s="22" t="n">
        <f aca="false">IF($B38="","",IF(ISNUMBER(F38),F38*1000*C38*10/100,"AUMENTAR h"))</f>
        <v>1.58358030177386</v>
      </c>
      <c r="H38" s="22" t="n">
        <f aca="false">IF($B38="","",IF(Datos!$C$25&lt;=350,0.002,MAX(0.0014,0.0018*420/Datos!$C$25))*1000*F18*10/100)</f>
        <v>2.16</v>
      </c>
      <c r="I38" s="29" t="n">
        <v>10</v>
      </c>
      <c r="J38" s="34" t="n">
        <v>15</v>
      </c>
      <c r="K38" s="22" t="n">
        <f aca="false">IF($B38="","",IF(OR(I38="",J38=""),"",PI()*I38^2/4/J38))</f>
        <v>5.23598775598299</v>
      </c>
      <c r="L38" s="22" t="n">
        <f aca="false">IF($B38="","",IF(K38="","",0.9*K38*100*Datos!$C$25*(C38*10-K38*100*Datos!$C$25/(0.85*Datos!$C$14*1000)/2)/10^6))</f>
        <v>17.7783154338807</v>
      </c>
      <c r="M38" s="14" t="n">
        <f aca="false">IF($B38="","",MIN(3*F18,45))</f>
        <v>36</v>
      </c>
      <c r="N38" s="15" t="str">
        <f aca="false">IF($B38="","",IF(D38=0,"–",IF(NOT(ISNUMBER(G38)),"AUMENTAR h",IF(K38="","REVISAR",IF(AND(K38&gt;=G38,K38&gt;=H38,L38&gt;=D38,J38&lt;=M38),"CUMPLE","NO CUMPLE")))))</f>
        <v>CUMPLE</v>
      </c>
    </row>
    <row r="39" customFormat="false" ht="15" hidden="false" customHeight="false" outlineLevel="0" collapsed="false">
      <c r="B39" s="35" t="str">
        <f aca="false">IF(B19="","",B19)</f>
        <v/>
      </c>
      <c r="C39" s="33" t="str">
        <f aca="false">IF($B39="","",F19-Datos!$C$20/10-I39/20)</f>
        <v/>
      </c>
      <c r="D39" s="22" t="str">
        <f aca="false">IF($B39="","",L19)</f>
        <v/>
      </c>
      <c r="E39" s="30" t="str">
        <f aca="false">IF($B39="","",IF(D39=0,0,D39*10^6/(0.9*1000*(C39*10)^2)))</f>
        <v/>
      </c>
      <c r="F39" s="36" t="str">
        <f aca="false">IF($B39="","",IF(1-2*E39/(0.85*Datos!$C$14)&lt;0,"AUMENTAR h",0.85*Datos!$C$14/Datos!$C$25*(1-SQRT(1-2*E39/(0.85*Datos!$C$14)))))</f>
        <v/>
      </c>
      <c r="G39" s="22" t="str">
        <f aca="false">IF($B39="","",IF(ISNUMBER(F39),F39*1000*C39*10/100,"AUMENTAR h"))</f>
        <v/>
      </c>
      <c r="H39" s="22" t="str">
        <f aca="false">IF($B39="","",IF(Datos!$C$25&lt;=350,0.002,MAX(0.0014,0.0018*420/Datos!$C$25))*1000*F19*10/100)</f>
        <v/>
      </c>
      <c r="I39" s="29"/>
      <c r="J39" s="34"/>
      <c r="K39" s="22" t="str">
        <f aca="false">IF($B39="","",IF(OR(I39="",J39=""),"",PI()*I39^2/4/J39))</f>
        <v/>
      </c>
      <c r="L39" s="22" t="str">
        <f aca="false">IF($B39="","",IF(K39="","",0.9*K39*100*Datos!$C$25*(C39*10-K39*100*Datos!$C$25/(0.85*Datos!$C$14*1000)/2)/10^6))</f>
        <v/>
      </c>
      <c r="M39" s="14" t="str">
        <f aca="false">IF($B39="","",MIN(3*F19,45))</f>
        <v/>
      </c>
      <c r="N39" s="15" t="str">
        <f aca="false">IF($B39="","",IF(D39=0,"–",IF(NOT(ISNUMBER(G39)),"AUMENTAR h",IF(K39="","REVISAR",IF(AND(K39&gt;=G39,K39&gt;=H39,L39&gt;=D39,J39&lt;=M39),"CUMPLE","NO CUMPLE")))))</f>
        <v/>
      </c>
    </row>
    <row r="40" customFormat="false" ht="15" hidden="false" customHeight="false" outlineLevel="0" collapsed="false">
      <c r="B40" s="35" t="str">
        <f aca="false">IF(B20="","",B20)</f>
        <v/>
      </c>
      <c r="C40" s="33" t="str">
        <f aca="false">IF($B40="","",F20-Datos!$C$20/10-I40/20)</f>
        <v/>
      </c>
      <c r="D40" s="22" t="str">
        <f aca="false">IF($B40="","",L20)</f>
        <v/>
      </c>
      <c r="E40" s="30" t="str">
        <f aca="false">IF($B40="","",IF(D40=0,0,D40*10^6/(0.9*1000*(C40*10)^2)))</f>
        <v/>
      </c>
      <c r="F40" s="36" t="str">
        <f aca="false">IF($B40="","",IF(1-2*E40/(0.85*Datos!$C$14)&lt;0,"AUMENTAR h",0.85*Datos!$C$14/Datos!$C$25*(1-SQRT(1-2*E40/(0.85*Datos!$C$14)))))</f>
        <v/>
      </c>
      <c r="G40" s="22" t="str">
        <f aca="false">IF($B40="","",IF(ISNUMBER(F40),F40*1000*C40*10/100,"AUMENTAR h"))</f>
        <v/>
      </c>
      <c r="H40" s="22" t="str">
        <f aca="false">IF($B40="","",IF(Datos!$C$25&lt;=350,0.002,MAX(0.0014,0.0018*420/Datos!$C$25))*1000*F20*10/100)</f>
        <v/>
      </c>
      <c r="I40" s="29"/>
      <c r="J40" s="34"/>
      <c r="K40" s="22" t="str">
        <f aca="false">IF($B40="","",IF(OR(I40="",J40=""),"",PI()*I40^2/4/J40))</f>
        <v/>
      </c>
      <c r="L40" s="22" t="str">
        <f aca="false">IF($B40="","",IF(K40="","",0.9*K40*100*Datos!$C$25*(C40*10-K40*100*Datos!$C$25/(0.85*Datos!$C$14*1000)/2)/10^6))</f>
        <v/>
      </c>
      <c r="M40" s="14" t="str">
        <f aca="false">IF($B40="","",MIN(3*F20,45))</f>
        <v/>
      </c>
      <c r="N40" s="15" t="str">
        <f aca="false">IF($B40="","",IF(D40=0,"–",IF(NOT(ISNUMBER(G40)),"AUMENTAR h",IF(K40="","REVISAR",IF(AND(K40&gt;=G40,K40&gt;=H40,L40&gt;=D40,J40&lt;=M40),"CUMPLE","NO CUMPLE")))))</f>
        <v/>
      </c>
    </row>
    <row r="41" customFormat="false" ht="15" hidden="false" customHeight="false" outlineLevel="0" collapsed="false">
      <c r="B41" s="35" t="str">
        <f aca="false">IF(B21="","",B21)</f>
        <v/>
      </c>
      <c r="C41" s="33" t="str">
        <f aca="false">IF($B41="","",F21-Datos!$C$20/10-I41/20)</f>
        <v/>
      </c>
      <c r="D41" s="22" t="str">
        <f aca="false">IF($B41="","",L21)</f>
        <v/>
      </c>
      <c r="E41" s="30" t="str">
        <f aca="false">IF($B41="","",IF(D41=0,0,D41*10^6/(0.9*1000*(C41*10)^2)))</f>
        <v/>
      </c>
      <c r="F41" s="36" t="str">
        <f aca="false">IF($B41="","",IF(1-2*E41/(0.85*Datos!$C$14)&lt;0,"AUMENTAR h",0.85*Datos!$C$14/Datos!$C$25*(1-SQRT(1-2*E41/(0.85*Datos!$C$14)))))</f>
        <v/>
      </c>
      <c r="G41" s="22" t="str">
        <f aca="false">IF($B41="","",IF(ISNUMBER(F41),F41*1000*C41*10/100,"AUMENTAR h"))</f>
        <v/>
      </c>
      <c r="H41" s="22" t="str">
        <f aca="false">IF($B41="","",IF(Datos!$C$25&lt;=350,0.002,MAX(0.0014,0.0018*420/Datos!$C$25))*1000*F21*10/100)</f>
        <v/>
      </c>
      <c r="I41" s="29"/>
      <c r="J41" s="34"/>
      <c r="K41" s="22" t="str">
        <f aca="false">IF($B41="","",IF(OR(I41="",J41=""),"",PI()*I41^2/4/J41))</f>
        <v/>
      </c>
      <c r="L41" s="22" t="str">
        <f aca="false">IF($B41="","",IF(K41="","",0.9*K41*100*Datos!$C$25*(C41*10-K41*100*Datos!$C$25/(0.85*Datos!$C$14*1000)/2)/10^6))</f>
        <v/>
      </c>
      <c r="M41" s="14" t="str">
        <f aca="false">IF($B41="","",MIN(3*F21,45))</f>
        <v/>
      </c>
      <c r="N41" s="15" t="str">
        <f aca="false">IF($B41="","",IF(D41=0,"–",IF(NOT(ISNUMBER(G41)),"AUMENTAR h",IF(K41="","REVISAR",IF(AND(K41&gt;=G41,K41&gt;=H41,L41&gt;=D41,J41&lt;=M41),"CUMPLE","NO CUMPLE")))))</f>
        <v/>
      </c>
    </row>
    <row r="43" customFormat="false" ht="19.5" hidden="false" customHeight="true" outlineLevel="0" collapsed="false">
      <c r="B43" s="3" t="s">
        <v>277</v>
      </c>
      <c r="C43" s="3"/>
      <c r="D43" s="3"/>
      <c r="E43" s="3"/>
      <c r="F43" s="3"/>
      <c r="G43" s="3"/>
      <c r="H43" s="3"/>
      <c r="I43" s="3"/>
      <c r="J43" s="3"/>
      <c r="K43" s="3"/>
      <c r="L43" s="3"/>
    </row>
    <row r="44" customFormat="false" ht="43.5" hidden="false" customHeight="true" outlineLevel="0" collapsed="false">
      <c r="B44" s="11" t="s">
        <v>228</v>
      </c>
      <c r="C44" s="11" t="s">
        <v>255</v>
      </c>
      <c r="D44" s="11" t="s">
        <v>264</v>
      </c>
      <c r="E44" s="11" t="s">
        <v>278</v>
      </c>
      <c r="F44" s="11" t="s">
        <v>279</v>
      </c>
      <c r="G44" s="11" t="s">
        <v>280</v>
      </c>
      <c r="H44" s="11" t="s">
        <v>281</v>
      </c>
      <c r="I44" s="11" t="s">
        <v>282</v>
      </c>
      <c r="J44" s="11" t="s">
        <v>269</v>
      </c>
      <c r="K44" s="11" t="s">
        <v>274</v>
      </c>
      <c r="L44" s="11" t="s">
        <v>283</v>
      </c>
    </row>
    <row r="45" customFormat="false" ht="15" hidden="false" customHeight="false" outlineLevel="0" collapsed="false">
      <c r="B45" s="35" t="str">
        <f aca="false">IF(B16="","",B16)</f>
        <v>L1</v>
      </c>
      <c r="C45" s="22" t="n">
        <f aca="false">IF($B45="","",M16)</f>
        <v>13.002</v>
      </c>
      <c r="D45" s="33" t="n">
        <f aca="false">IF($B45="","",IF(D16="Voladizo",C36,C26))</f>
        <v>12.5</v>
      </c>
      <c r="E45" s="33" t="n">
        <f aca="false">IF($B45="","",0.75*SQRT(Datos!$C$14)/6*D45*10)</f>
        <v>78.125</v>
      </c>
      <c r="F45" s="15" t="str">
        <f aca="false">IF($B45="","",IF(C45&lt;=E45,"CUMPLE","NO CUMPLE"))</f>
        <v>CUMPLE</v>
      </c>
      <c r="G45" s="29" t="n">
        <v>8</v>
      </c>
      <c r="H45" s="34" t="n">
        <v>15</v>
      </c>
      <c r="I45" s="22" t="n">
        <f aca="false">IF($B45="","",IF(OR(G45="",H45=""),"",PI()*G45^2/4/H45))</f>
        <v>3.35103216382911</v>
      </c>
      <c r="J45" s="22" t="n">
        <f aca="false">IF($B45="","",IF(Datos!$C$25&lt;=350,0.002,MAX(0.0014,0.0018*420/Datos!$C$25))*1000*F16*10/100)</f>
        <v>2.7</v>
      </c>
      <c r="K45" s="14" t="n">
        <f aca="false">IF($B45="","",MIN(5*F16,45))</f>
        <v>45</v>
      </c>
      <c r="L45" s="15" t="str">
        <f aca="false">IF($B45="","",IF(I45="","REVISAR",IF(AND(I45&gt;=J45,H45&lt;=K45),"CUMPLE","NO CUMPLE")))</f>
        <v>CUMPLE</v>
      </c>
    </row>
    <row r="46" customFormat="false" ht="15" hidden="false" customHeight="false" outlineLevel="0" collapsed="false">
      <c r="B46" s="35" t="str">
        <f aca="false">IF(B17="","",B17)</f>
        <v>L2</v>
      </c>
      <c r="C46" s="22" t="n">
        <f aca="false">IF($B46="","",M17)</f>
        <v>18.73856</v>
      </c>
      <c r="D46" s="33" t="n">
        <f aca="false">IF($B46="","",IF(D17="Voladizo",C37,C27))</f>
        <v>11.5</v>
      </c>
      <c r="E46" s="33" t="n">
        <f aca="false">IF($B46="","",0.75*SQRT(Datos!$C$14)/6*D46*10)</f>
        <v>71.875</v>
      </c>
      <c r="F46" s="15" t="str">
        <f aca="false">IF($B46="","",IF(C46&lt;=E46,"CUMPLE","NO CUMPLE"))</f>
        <v>CUMPLE</v>
      </c>
      <c r="G46" s="29" t="n">
        <v>8</v>
      </c>
      <c r="H46" s="34" t="n">
        <v>15</v>
      </c>
      <c r="I46" s="22" t="n">
        <f aca="false">IF($B46="","",IF(OR(G46="",H46=""),"",PI()*G46^2/4/H46))</f>
        <v>3.35103216382911</v>
      </c>
      <c r="J46" s="22" t="n">
        <f aca="false">IF($B46="","",IF(Datos!$C$25&lt;=350,0.002,MAX(0.0014,0.0018*420/Datos!$C$25))*1000*F17*10/100)</f>
        <v>2.52</v>
      </c>
      <c r="K46" s="14" t="n">
        <f aca="false">IF($B46="","",MIN(5*F17,45))</f>
        <v>45</v>
      </c>
      <c r="L46" s="15" t="str">
        <f aca="false">IF($B46="","",IF(I46="","REVISAR",IF(AND(I46&gt;=J46,H46&lt;=K46),"CUMPLE","NO CUMPLE")))</f>
        <v>CUMPLE</v>
      </c>
    </row>
    <row r="47" customFormat="false" ht="15" hidden="false" customHeight="false" outlineLevel="0" collapsed="false">
      <c r="B47" s="35" t="str">
        <f aca="false">IF(B18="","",B18)</f>
        <v>L3</v>
      </c>
      <c r="C47" s="22" t="n">
        <f aca="false">IF($B47="","",M18)</f>
        <v>9.3216</v>
      </c>
      <c r="D47" s="33" t="n">
        <f aca="false">IF($B47="","",IF(D18="Voladizo",C38,C28))</f>
        <v>9.5</v>
      </c>
      <c r="E47" s="33" t="n">
        <f aca="false">IF($B47="","",0.75*SQRT(Datos!$C$14)/6*D47*10)</f>
        <v>59.375</v>
      </c>
      <c r="F47" s="15" t="str">
        <f aca="false">IF($B47="","",IF(C47&lt;=E47,"CUMPLE","NO CUMPLE"))</f>
        <v>CUMPLE</v>
      </c>
      <c r="G47" s="29" t="n">
        <v>8</v>
      </c>
      <c r="H47" s="34" t="n">
        <v>15</v>
      </c>
      <c r="I47" s="22" t="n">
        <f aca="false">IF($B47="","",IF(OR(G47="",H47=""),"",PI()*G47^2/4/H47))</f>
        <v>3.35103216382911</v>
      </c>
      <c r="J47" s="22" t="n">
        <f aca="false">IF($B47="","",IF(Datos!$C$25&lt;=350,0.002,MAX(0.0014,0.0018*420/Datos!$C$25))*1000*F18*10/100)</f>
        <v>2.16</v>
      </c>
      <c r="K47" s="14" t="n">
        <f aca="false">IF($B47="","",MIN(5*F18,45))</f>
        <v>45</v>
      </c>
      <c r="L47" s="15" t="str">
        <f aca="false">IF($B47="","",IF(I47="","REVISAR",IF(AND(I47&gt;=J47,H47&lt;=K47),"CUMPLE","NO CUMPLE")))</f>
        <v>CUMPLE</v>
      </c>
    </row>
    <row r="48" customFormat="false" ht="15" hidden="false" customHeight="false" outlineLevel="0" collapsed="false">
      <c r="B48" s="35" t="str">
        <f aca="false">IF(B19="","",B19)</f>
        <v/>
      </c>
      <c r="C48" s="22" t="str">
        <f aca="false">IF($B48="","",M19)</f>
        <v/>
      </c>
      <c r="D48" s="33" t="str">
        <f aca="false">IF($B48="","",IF(D19="Voladizo",C39,C29))</f>
        <v/>
      </c>
      <c r="E48" s="33" t="str">
        <f aca="false">IF($B48="","",0.75*SQRT(Datos!$C$14)/6*D48*10)</f>
        <v/>
      </c>
      <c r="F48" s="15" t="str">
        <f aca="false">IF($B48="","",IF(C48&lt;=E48,"CUMPLE","NO CUMPLE"))</f>
        <v/>
      </c>
      <c r="G48" s="29"/>
      <c r="H48" s="34"/>
      <c r="I48" s="22" t="str">
        <f aca="false">IF($B48="","",IF(OR(G48="",H48=""),"",PI()*G48^2/4/H48))</f>
        <v/>
      </c>
      <c r="J48" s="22" t="str">
        <f aca="false">IF($B48="","",IF(Datos!$C$25&lt;=350,0.002,MAX(0.0014,0.0018*420/Datos!$C$25))*1000*F19*10/100)</f>
        <v/>
      </c>
      <c r="K48" s="14" t="str">
        <f aca="false">IF($B48="","",MIN(5*F19,45))</f>
        <v/>
      </c>
      <c r="L48" s="15" t="str">
        <f aca="false">IF($B48="","",IF(I48="","REVISAR",IF(AND(I48&gt;=J48,H48&lt;=K48),"CUMPLE","NO CUMPLE")))</f>
        <v/>
      </c>
    </row>
    <row r="49" customFormat="false" ht="15" hidden="false" customHeight="false" outlineLevel="0" collapsed="false">
      <c r="B49" s="35" t="str">
        <f aca="false">IF(B20="","",B20)</f>
        <v/>
      </c>
      <c r="C49" s="22" t="str">
        <f aca="false">IF($B49="","",M20)</f>
        <v/>
      </c>
      <c r="D49" s="33" t="str">
        <f aca="false">IF($B49="","",IF(D20="Voladizo",C40,C30))</f>
        <v/>
      </c>
      <c r="E49" s="33" t="str">
        <f aca="false">IF($B49="","",0.75*SQRT(Datos!$C$14)/6*D49*10)</f>
        <v/>
      </c>
      <c r="F49" s="15" t="str">
        <f aca="false">IF($B49="","",IF(C49&lt;=E49,"CUMPLE","NO CUMPLE"))</f>
        <v/>
      </c>
      <c r="G49" s="29"/>
      <c r="H49" s="34"/>
      <c r="I49" s="22" t="str">
        <f aca="false">IF($B49="","",IF(OR(G49="",H49=""),"",PI()*G49^2/4/H49))</f>
        <v/>
      </c>
      <c r="J49" s="22" t="str">
        <f aca="false">IF($B49="","",IF(Datos!$C$25&lt;=350,0.002,MAX(0.0014,0.0018*420/Datos!$C$25))*1000*F20*10/100)</f>
        <v/>
      </c>
      <c r="K49" s="14" t="str">
        <f aca="false">IF($B49="","",MIN(5*F20,45))</f>
        <v/>
      </c>
      <c r="L49" s="15" t="str">
        <f aca="false">IF($B49="","",IF(I49="","REVISAR",IF(AND(I49&gt;=J49,H49&lt;=K49),"CUMPLE","NO CUMPLE")))</f>
        <v/>
      </c>
    </row>
    <row r="50" customFormat="false" ht="15" hidden="false" customHeight="false" outlineLevel="0" collapsed="false">
      <c r="B50" s="35" t="str">
        <f aca="false">IF(B21="","",B21)</f>
        <v/>
      </c>
      <c r="C50" s="22" t="str">
        <f aca="false">IF($B50="","",M21)</f>
        <v/>
      </c>
      <c r="D50" s="33" t="str">
        <f aca="false">IF($B50="","",IF(D21="Voladizo",C41,C31))</f>
        <v/>
      </c>
      <c r="E50" s="33" t="str">
        <f aca="false">IF($B50="","",0.75*SQRT(Datos!$C$14)/6*D50*10)</f>
        <v/>
      </c>
      <c r="F50" s="15" t="str">
        <f aca="false">IF($B50="","",IF(C50&lt;=E50,"CUMPLE","NO CUMPLE"))</f>
        <v/>
      </c>
      <c r="G50" s="29"/>
      <c r="H50" s="34"/>
      <c r="I50" s="22" t="str">
        <f aca="false">IF($B50="","",IF(OR(G50="",H50=""),"",PI()*G50^2/4/H50))</f>
        <v/>
      </c>
      <c r="J50" s="22" t="str">
        <f aca="false">IF($B50="","",IF(Datos!$C$25&lt;=350,0.002,MAX(0.0014,0.0018*420/Datos!$C$25))*1000*F21*10/100)</f>
        <v/>
      </c>
      <c r="K50" s="14" t="str">
        <f aca="false">IF($B50="","",MIN(5*F21,45))</f>
        <v/>
      </c>
      <c r="L50" s="15" t="str">
        <f aca="false">IF($B50="","",IF(I50="","REVISAR",IF(AND(I50&gt;=J50,H50&lt;=K50),"CUMPLE","NO CUMPLE")))</f>
        <v/>
      </c>
    </row>
    <row r="51" customFormat="false" ht="27.75" hidden="false" customHeight="true" outlineLevel="0" collapsed="false">
      <c r="B51" s="2" t="s">
        <v>284</v>
      </c>
      <c r="C51" s="2"/>
      <c r="D51" s="2"/>
      <c r="E51" s="2"/>
      <c r="F51" s="2"/>
      <c r="G51" s="2"/>
      <c r="H51" s="2"/>
      <c r="I51" s="2"/>
      <c r="J51" s="2"/>
      <c r="K51" s="2"/>
      <c r="L51" s="2"/>
    </row>
  </sheetData>
  <mergeCells count="11">
    <mergeCell ref="A1:O1"/>
    <mergeCell ref="A2:O2"/>
    <mergeCell ref="B4:J4"/>
    <mergeCell ref="B12:J12"/>
    <mergeCell ref="B14:O14"/>
    <mergeCell ref="B22:O22"/>
    <mergeCell ref="B24:N24"/>
    <mergeCell ref="B32:N32"/>
    <mergeCell ref="B34:N34"/>
    <mergeCell ref="B43:L43"/>
    <mergeCell ref="B51:L51"/>
  </mergeCells>
  <conditionalFormatting sqref="J6:J11">
    <cfRule type="expression" priority="2" aboveAverage="0" equalAverage="0" bottom="0" percent="0" rank="0" text="" dxfId="0">
      <formula>ISNUMBER(SEARCH("NO ",J6))</formula>
    </cfRule>
    <cfRule type="expression" priority="3" aboveAverage="0" equalAverage="0" bottom="0" percent="0" rank="0" text="" dxfId="1">
      <formula>OR(ISNUMBER(SEARCH("REVISAR",J6)),ISNUMBER(SEARCH("AUMENTAR",J6)))</formula>
    </cfRule>
    <cfRule type="expression" priority="4" aboveAverage="0" equalAverage="0" bottom="0" percent="0" rank="0" text="" dxfId="2">
      <formula>OR(J6="CUMPLE",J6="OK",J6="VERIFICA")</formula>
    </cfRule>
  </conditionalFormatting>
  <conditionalFormatting sqref="N26:N31">
    <cfRule type="expression" priority="5" aboveAverage="0" equalAverage="0" bottom="0" percent="0" rank="0" text="" dxfId="0">
      <formula>ISNUMBER(SEARCH("NO ",N26))</formula>
    </cfRule>
    <cfRule type="expression" priority="6" aboveAverage="0" equalAverage="0" bottom="0" percent="0" rank="0" text="" dxfId="1">
      <formula>OR(ISNUMBER(SEARCH("REVISAR",N26)),ISNUMBER(SEARCH("AUMENTAR",N26)))</formula>
    </cfRule>
    <cfRule type="expression" priority="7" aboveAverage="0" equalAverage="0" bottom="0" percent="0" rank="0" text="" dxfId="2">
      <formula>OR(N26="CUMPLE",N26="OK",N26="VERIFICA")</formula>
    </cfRule>
  </conditionalFormatting>
  <conditionalFormatting sqref="N36:N41">
    <cfRule type="expression" priority="8" aboveAverage="0" equalAverage="0" bottom="0" percent="0" rank="0" text="" dxfId="0">
      <formula>ISNUMBER(SEARCH("NO ",N36))</formula>
    </cfRule>
    <cfRule type="expression" priority="9" aboveAverage="0" equalAverage="0" bottom="0" percent="0" rank="0" text="" dxfId="1">
      <formula>OR(ISNUMBER(SEARCH("REVISAR",N36)),ISNUMBER(SEARCH("AUMENTAR",N36)))</formula>
    </cfRule>
    <cfRule type="expression" priority="10" aboveAverage="0" equalAverage="0" bottom="0" percent="0" rank="0" text="" dxfId="2">
      <formula>OR(N36="CUMPLE",N36="OK",N36="VERIFICA")</formula>
    </cfRule>
  </conditionalFormatting>
  <conditionalFormatting sqref="F45:F50">
    <cfRule type="expression" priority="11" aboveAverage="0" equalAverage="0" bottom="0" percent="0" rank="0" text="" dxfId="0">
      <formula>ISNUMBER(SEARCH("NO ",F45))</formula>
    </cfRule>
    <cfRule type="expression" priority="12" aboveAverage="0" equalAverage="0" bottom="0" percent="0" rank="0" text="" dxfId="1">
      <formula>OR(ISNUMBER(SEARCH("REVISAR",F45)),ISNUMBER(SEARCH("AUMENTAR",F45)))</formula>
    </cfRule>
    <cfRule type="expression" priority="13" aboveAverage="0" equalAverage="0" bottom="0" percent="0" rank="0" text="" dxfId="2">
      <formula>OR(F45="CUMPLE",F45="OK",F45="VERIFICA")</formula>
    </cfRule>
  </conditionalFormatting>
  <conditionalFormatting sqref="L45:L50">
    <cfRule type="expression" priority="14" aboveAverage="0" equalAverage="0" bottom="0" percent="0" rank="0" text="" dxfId="0">
      <formula>ISNUMBER(SEARCH("NO ",L45))</formula>
    </cfRule>
    <cfRule type="expression" priority="15" aboveAverage="0" equalAverage="0" bottom="0" percent="0" rank="0" text="" dxfId="1">
      <formula>OR(ISNUMBER(SEARCH("REVISAR",L45)),ISNUMBER(SEARCH("AUMENTAR",L45)))</formula>
    </cfRule>
    <cfRule type="expression" priority="16" aboveAverage="0" equalAverage="0" bottom="0" percent="0" rank="0" text="" dxfId="2">
      <formula>OR(L45="CUMPLE",L45="OK",L45="VERIFICA")</formula>
    </cfRule>
  </conditionalFormatting>
  <dataValidations count="7">
    <dataValidation allowBlank="true" error="Elegí un valor de la lista" errorStyle="stop" errorTitle="Valor no válido" operator="between" showDropDown="false" showErrorMessage="false" showInputMessage="false" sqref="C6:C11" type="list">
      <formula1>Tablas!$K$43:$K$44</formula1>
      <formula2>0</formula2>
    </dataValidation>
    <dataValidation allowBlank="true" error="Elegí un valor de la lista" errorStyle="stop" errorTitle="Valor no válido" operator="between" showDropDown="false" showErrorMessage="false" showInputMessage="false" sqref="D6:D11" type="list">
      <formula1>Tablas!$L$42:$O$42</formula1>
      <formula2>0</formula2>
    </dataValidation>
    <dataValidation allowBlank="true" error="Elegí un valor de la lista" errorStyle="stop" errorTitle="Valor no válido" operator="between" showDropDown="false" showErrorMessage="false" showInputMessage="false" sqref="C16:C21" type="list">
      <formula1>"TECHO,ENTREPISO"</formula1>
      <formula2>0</formula2>
    </dataValidation>
    <dataValidation allowBlank="true" error="Elegí un valor de la lista" errorStyle="stop" errorTitle="Valor no válido" operator="between" showDropDown="false" showErrorMessage="false" showInputMessage="false" sqref="D16:D21" type="list">
      <formula1>"Simplemente apoyada,Continua 2 tramos,Voladizo"</formula1>
      <formula2>0</formula2>
    </dataValidation>
    <dataValidation allowBlank="true" error="Elegí un valor de la lista" errorStyle="stop" errorTitle="Valor no válido" operator="between" showDropDown="false" showErrorMessage="false" showInputMessage="false" sqref="I26:I31" type="list">
      <formula1>Tablas!$K$5:$K$14</formula1>
      <formula2>0</formula2>
    </dataValidation>
    <dataValidation allowBlank="true" error="Elegí un valor de la lista" errorStyle="stop" errorTitle="Valor no válido" operator="between" showDropDown="false" showErrorMessage="false" showInputMessage="false" sqref="I36:I41" type="list">
      <formula1>Tablas!$K$5:$K$14</formula1>
      <formula2>0</formula2>
    </dataValidation>
    <dataValidation allowBlank="true" error="Elegí un valor de la lista" errorStyle="stop" errorTitle="Valor no válido" operator="between" showDropDown="false" showErrorMessage="false" showInputMessage="false" sqref="G45:G50" type="list">
      <formula1>Tablas!$K$5:$K$14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58F"/>
    <pageSetUpPr fitToPage="true"/>
  </sheetPr>
  <dimension ref="A1:R1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14"/>
    <col collapsed="false" customWidth="true" hidden="false" outlineLevel="0" max="4" min="4" style="0" width="40"/>
    <col collapsed="false" customWidth="true" hidden="false" outlineLevel="0" max="9" min="5" style="0" width="10"/>
    <col collapsed="false" customWidth="true" hidden="false" outlineLevel="0" max="17" min="10" style="0" width="11"/>
    <col collapsed="false" customWidth="true" hidden="false" outlineLevel="0" max="18" min="18" style="0" width="13"/>
  </cols>
  <sheetData>
    <row r="1" customFormat="false" ht="27.75" hidden="false" customHeight="true" outlineLevel="0" collapsed="false">
      <c r="A1" s="1" t="s">
        <v>285</v>
      </c>
      <c r="B1" s="1"/>
      <c r="C1" s="1"/>
      <c r="D1" s="1"/>
      <c r="E1" s="1"/>
      <c r="F1" s="1"/>
      <c r="G1" s="1"/>
      <c r="H1" s="1"/>
      <c r="I1" s="1"/>
      <c r="J1" s="1"/>
      <c r="K1" s="1"/>
      <c r="L1" s="1"/>
      <c r="M1" s="1"/>
      <c r="N1" s="1"/>
      <c r="O1" s="1"/>
      <c r="P1" s="1"/>
      <c r="Q1" s="1"/>
      <c r="R1" s="1"/>
    </row>
    <row r="2" customFormat="false" ht="30" hidden="false" customHeight="true" outlineLevel="0" collapsed="false">
      <c r="A2" s="2" t="s">
        <v>286</v>
      </c>
      <c r="B2" s="2"/>
      <c r="C2" s="2"/>
      <c r="D2" s="2"/>
      <c r="E2" s="2"/>
      <c r="F2" s="2"/>
      <c r="G2" s="2"/>
      <c r="H2" s="2"/>
      <c r="I2" s="2"/>
      <c r="J2" s="2"/>
      <c r="K2" s="2"/>
      <c r="L2" s="2"/>
      <c r="M2" s="2"/>
      <c r="N2" s="2"/>
      <c r="O2" s="2"/>
      <c r="P2" s="2"/>
      <c r="Q2" s="2"/>
      <c r="R2" s="2"/>
    </row>
    <row r="4" customFormat="false" ht="19.5" hidden="false" customHeight="true" outlineLevel="0" collapsed="false">
      <c r="B4" s="3" t="s">
        <v>287</v>
      </c>
      <c r="C4" s="3"/>
      <c r="D4" s="3"/>
      <c r="E4" s="3"/>
      <c r="F4" s="3"/>
      <c r="G4" s="3"/>
      <c r="H4" s="3"/>
      <c r="I4" s="3"/>
      <c r="J4" s="3"/>
      <c r="K4" s="3"/>
      <c r="L4" s="3"/>
      <c r="M4" s="3"/>
      <c r="N4" s="3"/>
    </row>
    <row r="5" customFormat="false" ht="162" hidden="false" customHeight="true" outlineLevel="0" collapsed="false">
      <c r="B5" s="17" t="s">
        <v>288</v>
      </c>
      <c r="E5" s="24" t="s">
        <v>289</v>
      </c>
      <c r="F5" s="24"/>
      <c r="G5" s="37" t="s">
        <v>290</v>
      </c>
    </row>
    <row r="6" customFormat="false" ht="55.5" hidden="false" customHeight="true" outlineLevel="0" collapsed="false">
      <c r="B6" s="11" t="s">
        <v>291</v>
      </c>
      <c r="C6" s="11" t="s">
        <v>246</v>
      </c>
      <c r="D6" s="11" t="s">
        <v>292</v>
      </c>
      <c r="E6" s="11" t="s">
        <v>231</v>
      </c>
      <c r="F6" s="11" t="s">
        <v>293</v>
      </c>
      <c r="G6" s="11" t="s">
        <v>294</v>
      </c>
      <c r="H6" s="11" t="s">
        <v>295</v>
      </c>
      <c r="I6" s="11" t="s">
        <v>296</v>
      </c>
      <c r="J6" s="11" t="s">
        <v>297</v>
      </c>
      <c r="K6" s="11" t="s">
        <v>298</v>
      </c>
      <c r="L6" s="11" t="s">
        <v>299</v>
      </c>
      <c r="M6" s="11" t="s">
        <v>236</v>
      </c>
    </row>
    <row r="7" customFormat="false" ht="16.5" hidden="false" customHeight="true" outlineLevel="0" collapsed="false">
      <c r="B7" s="24" t="s">
        <v>300</v>
      </c>
      <c r="C7" s="24" t="s">
        <v>260</v>
      </c>
      <c r="D7" s="5" t="s">
        <v>301</v>
      </c>
      <c r="E7" s="32" t="n">
        <v>4</v>
      </c>
      <c r="F7" s="32" t="n">
        <v>0.7</v>
      </c>
      <c r="G7" s="32" t="n">
        <v>2.5</v>
      </c>
      <c r="H7" s="22" t="n">
        <f aca="false">IF($B7="","",IF($E$5="Servicio",IF(C7="TECHO",Cargas!$I$16,Cargas!$I$28)+G7+IF(C7="TECHO",Cargas!$I$34,Cargas!$I$33)+IF(C7="TECHO",Cargas!$I$32,Cargas!$I$35),MAX(1.4*(IF(C7="TECHO",Cargas!$I$16,Cargas!$I$28)+G7),1.2*(IF(C7="TECHO",Cargas!$I$16,Cargas!$I$28)+G7)+1.6*IF(C7="TECHO",Cargas!$I$34,Cargas!$I$33)+0.5*IF(C7="TECHO",Cargas!$I$32,Cargas!$I$35),1.2*(IF(C7="TECHO",Cargas!$I$16,Cargas!$I$28)+G7)+1.6*IF(C7="TECHO",Cargas!$I$32,Cargas!$I$35)+Cargas!$I$36*IF(C7="TECHO",Cargas!$I$34,Cargas!$I$33))))</f>
        <v>6.82</v>
      </c>
      <c r="I7" s="22" t="n">
        <f aca="false">IF($B7="","",H7*F7)</f>
        <v>4.774</v>
      </c>
      <c r="J7" s="22" t="n">
        <f aca="false">IF($B7="","",I7*E7^2/8)</f>
        <v>9.548</v>
      </c>
      <c r="K7" s="22" t="n">
        <f aca="false">IF($B7="","",I7*E7/2)</f>
        <v>9.548</v>
      </c>
      <c r="L7" s="22" t="n">
        <f aca="false">IF($B7="","",INDEX(Tablas!$L$62:$L$71,MATCH(D7,Tablas!$K$62:$K$71,0)))</f>
        <v>11.92</v>
      </c>
      <c r="M7" s="15" t="str">
        <f aca="false">IF($B7="","",IF(J7&lt;=L7,"CUMPLE","NO CUMPLE"))</f>
        <v>CUMPLE</v>
      </c>
    </row>
    <row r="8" customFormat="false" ht="16.5" hidden="false" customHeight="true" outlineLevel="0" collapsed="false">
      <c r="B8" s="24" t="s">
        <v>302</v>
      </c>
      <c r="C8" s="24" t="s">
        <v>258</v>
      </c>
      <c r="D8" s="5" t="s">
        <v>303</v>
      </c>
      <c r="E8" s="32" t="n">
        <v>3.5</v>
      </c>
      <c r="F8" s="32" t="n">
        <v>0.7</v>
      </c>
      <c r="G8" s="32" t="n">
        <v>2.5</v>
      </c>
      <c r="H8" s="22" t="n">
        <f aca="false">IF($B8="","",IF($E$5="Servicio",IF(C8="TECHO",Cargas!$I$16,Cargas!$I$28)+G8+IF(C8="TECHO",Cargas!$I$34,Cargas!$I$33)+IF(C8="TECHO",Cargas!$I$32,Cargas!$I$35),MAX(1.4*(IF(C8="TECHO",Cargas!$I$16,Cargas!$I$28)+G8),1.2*(IF(C8="TECHO",Cargas!$I$16,Cargas!$I$28)+G8)+1.6*IF(C8="TECHO",Cargas!$I$34,Cargas!$I$33)+0.5*IF(C8="TECHO",Cargas!$I$32,Cargas!$I$35),1.2*(IF(C8="TECHO",Cargas!$I$16,Cargas!$I$28)+G8)+1.6*IF(C8="TECHO",Cargas!$I$32,Cargas!$I$35)+Cargas!$I$36*IF(C8="TECHO",Cargas!$I$34,Cargas!$I$33))))</f>
        <v>5.64</v>
      </c>
      <c r="I8" s="22" t="n">
        <f aca="false">IF($B8="","",H8*F8)</f>
        <v>3.948</v>
      </c>
      <c r="J8" s="22" t="n">
        <f aca="false">IF($B8="","",I8*E8^2/8)</f>
        <v>6.045375</v>
      </c>
      <c r="K8" s="22" t="n">
        <f aca="false">IF($B8="","",I8*E8/2)</f>
        <v>6.909</v>
      </c>
      <c r="L8" s="22" t="n">
        <f aca="false">IF($B8="","",INDEX(Tablas!$L$62:$L$71,MATCH(D8,Tablas!$K$62:$K$71,0)))</f>
        <v>10.89</v>
      </c>
      <c r="M8" s="15" t="str">
        <f aca="false">IF($B8="","",IF(J8&lt;=L8,"CUMPLE","NO CUMPLE"))</f>
        <v>CUMPLE</v>
      </c>
    </row>
    <row r="9" customFormat="false" ht="15" hidden="false" customHeight="false" outlineLevel="0" collapsed="false">
      <c r="B9" s="24"/>
      <c r="C9" s="24"/>
      <c r="D9" s="5"/>
      <c r="E9" s="32"/>
      <c r="F9" s="32"/>
      <c r="G9" s="32"/>
      <c r="H9" s="22" t="str">
        <f aca="false">IF($B9="","",IF($E$5="Servicio",IF(C9="TECHO",Cargas!$I$16,Cargas!$I$28)+G9+IF(C9="TECHO",Cargas!$I$34,Cargas!$I$33)+IF(C9="TECHO",Cargas!$I$32,Cargas!$I$35),MAX(1.4*(IF(C9="TECHO",Cargas!$I$16,Cargas!$I$28)+G9),1.2*(IF(C9="TECHO",Cargas!$I$16,Cargas!$I$28)+G9)+1.6*IF(C9="TECHO",Cargas!$I$34,Cargas!$I$33)+0.5*IF(C9="TECHO",Cargas!$I$32,Cargas!$I$35),1.2*(IF(C9="TECHO",Cargas!$I$16,Cargas!$I$28)+G9)+1.6*IF(C9="TECHO",Cargas!$I$32,Cargas!$I$35)+Cargas!$I$36*IF(C9="TECHO",Cargas!$I$34,Cargas!$I$33))))</f>
        <v/>
      </c>
      <c r="I9" s="22" t="str">
        <f aca="false">IF($B9="","",H9*F9)</f>
        <v/>
      </c>
      <c r="J9" s="22" t="str">
        <f aca="false">IF($B9="","",I9*E9^2/8)</f>
        <v/>
      </c>
      <c r="K9" s="22" t="str">
        <f aca="false">IF($B9="","",I9*E9/2)</f>
        <v/>
      </c>
      <c r="L9" s="22" t="str">
        <f aca="false">IF($B9="","",INDEX(Tablas!$L$62:$L$71,MATCH(D9,Tablas!$K$62:$K$71,0)))</f>
        <v/>
      </c>
      <c r="M9" s="15" t="str">
        <f aca="false">IF($B9="","",IF(J9&lt;=L9,"CUMPLE","NO CUMPLE"))</f>
        <v/>
      </c>
    </row>
    <row r="10" customFormat="false" ht="15" hidden="false" customHeight="false" outlineLevel="0" collapsed="false">
      <c r="B10" s="24"/>
      <c r="C10" s="24"/>
      <c r="D10" s="5"/>
      <c r="E10" s="32"/>
      <c r="F10" s="32"/>
      <c r="G10" s="32"/>
      <c r="H10" s="22" t="str">
        <f aca="false">IF($B10="","",IF($E$5="Servicio",IF(C10="TECHO",Cargas!$I$16,Cargas!$I$28)+G10+IF(C10="TECHO",Cargas!$I$34,Cargas!$I$33)+IF(C10="TECHO",Cargas!$I$32,Cargas!$I$35),MAX(1.4*(IF(C10="TECHO",Cargas!$I$16,Cargas!$I$28)+G10),1.2*(IF(C10="TECHO",Cargas!$I$16,Cargas!$I$28)+G10)+1.6*IF(C10="TECHO",Cargas!$I$34,Cargas!$I$33)+0.5*IF(C10="TECHO",Cargas!$I$32,Cargas!$I$35),1.2*(IF(C10="TECHO",Cargas!$I$16,Cargas!$I$28)+G10)+1.6*IF(C10="TECHO",Cargas!$I$32,Cargas!$I$35)+Cargas!$I$36*IF(C10="TECHO",Cargas!$I$34,Cargas!$I$33))))</f>
        <v/>
      </c>
      <c r="I10" s="22" t="str">
        <f aca="false">IF($B10="","",H10*F10)</f>
        <v/>
      </c>
      <c r="J10" s="22" t="str">
        <f aca="false">IF($B10="","",I10*E10^2/8)</f>
        <v/>
      </c>
      <c r="K10" s="22" t="str">
        <f aca="false">IF($B10="","",I10*E10/2)</f>
        <v/>
      </c>
      <c r="L10" s="22" t="str">
        <f aca="false">IF($B10="","",INDEX(Tablas!$L$62:$L$71,MATCH(D10,Tablas!$K$62:$K$71,0)))</f>
        <v/>
      </c>
      <c r="M10" s="15" t="str">
        <f aca="false">IF($B10="","",IF(J10&lt;=L10,"CUMPLE","NO CUMPLE"))</f>
        <v/>
      </c>
    </row>
    <row r="11" customFormat="false" ht="39.75" hidden="false" customHeight="true" outlineLevel="0" collapsed="false">
      <c r="B11" s="2" t="s">
        <v>304</v>
      </c>
      <c r="C11" s="2"/>
      <c r="D11" s="2"/>
      <c r="E11" s="2"/>
      <c r="F11" s="2"/>
      <c r="G11" s="2"/>
      <c r="H11" s="2"/>
      <c r="I11" s="2"/>
      <c r="J11" s="2"/>
      <c r="K11" s="2"/>
      <c r="L11" s="2"/>
      <c r="M11" s="2"/>
    </row>
    <row r="13" customFormat="false" ht="19.5" hidden="false" customHeight="true" outlineLevel="0" collapsed="false">
      <c r="B13" s="3" t="s">
        <v>305</v>
      </c>
      <c r="C13" s="3"/>
      <c r="D13" s="3"/>
      <c r="E13" s="3"/>
      <c r="F13" s="3"/>
      <c r="G13" s="3"/>
      <c r="H13" s="3"/>
      <c r="I13" s="3"/>
      <c r="J13" s="3"/>
      <c r="K13" s="3"/>
      <c r="L13" s="3"/>
      <c r="M13" s="3"/>
      <c r="N13" s="3"/>
      <c r="O13" s="3"/>
      <c r="P13" s="3"/>
      <c r="Q13" s="3"/>
      <c r="R13" s="3"/>
    </row>
    <row r="14" customFormat="false" ht="55.5" hidden="false" customHeight="true" outlineLevel="0" collapsed="false">
      <c r="B14" s="11" t="s">
        <v>306</v>
      </c>
      <c r="C14" s="11" t="s">
        <v>246</v>
      </c>
      <c r="D14" s="11" t="s">
        <v>307</v>
      </c>
      <c r="E14" s="11" t="s">
        <v>173</v>
      </c>
      <c r="F14" s="11" t="s">
        <v>221</v>
      </c>
      <c r="G14" s="11" t="s">
        <v>231</v>
      </c>
      <c r="H14" s="11" t="s">
        <v>308</v>
      </c>
      <c r="I14" s="11" t="s">
        <v>309</v>
      </c>
      <c r="J14" s="11" t="s">
        <v>310</v>
      </c>
      <c r="K14" s="11" t="s">
        <v>311</v>
      </c>
      <c r="L14" s="11" t="s">
        <v>312</v>
      </c>
      <c r="M14" s="11" t="s">
        <v>296</v>
      </c>
      <c r="N14" s="11" t="s">
        <v>313</v>
      </c>
      <c r="O14" s="11" t="s">
        <v>314</v>
      </c>
      <c r="P14" s="11" t="s">
        <v>315</v>
      </c>
      <c r="Q14" s="11" t="s">
        <v>316</v>
      </c>
      <c r="R14" s="11" t="s">
        <v>236</v>
      </c>
    </row>
    <row r="15" customFormat="false" ht="16.5" hidden="false" customHeight="true" outlineLevel="0" collapsed="false">
      <c r="B15" s="24" t="s">
        <v>317</v>
      </c>
      <c r="C15" s="24" t="s">
        <v>258</v>
      </c>
      <c r="D15" s="5" t="s">
        <v>318</v>
      </c>
      <c r="E15" s="30" t="n">
        <f aca="false">IF($B15="","",INDEX(Tablas!$S$5:$S$124,MATCH(D15,Tablas!$Q$5:$Q$124,0)))</f>
        <v>0.09</v>
      </c>
      <c r="F15" s="30" t="n">
        <f aca="false">IF($B15="","",INDEX(Tablas!$T$5:$T$124,MATCH(D15,Tablas!$Q$5:$Q$124,0)))</f>
        <v>0.222</v>
      </c>
      <c r="G15" s="32" t="n">
        <v>3</v>
      </c>
      <c r="H15" s="32" t="n">
        <v>0.6</v>
      </c>
      <c r="I15" s="29" t="n">
        <v>15</v>
      </c>
      <c r="J15" s="25" t="n">
        <v>11200</v>
      </c>
      <c r="K15" s="32" t="n">
        <v>6.3</v>
      </c>
      <c r="L15" s="32" t="n">
        <v>0.7</v>
      </c>
      <c r="M15" s="30" t="n">
        <f aca="false">IF($B15="","",(IF(C15="TECHO",Cargas!$I$16,Cargas!$I$28)+IF(C15="TECHO",Cargas!$I$34+Cargas!$I$32,Cargas!$I$33+Cargas!$I$35))*H15+INDEX(Tablas!$R$5:$R$124,MATCH(D15,Tablas!$Q$5:$Q$124,0)))</f>
        <v>2.00388</v>
      </c>
      <c r="N15" s="22" t="n">
        <f aca="false">IF($B15="","",(M15*COS(RADIANS(I15))*G15^2/8)/(E15*F15^2/6)/1000)</f>
        <v>2.9455798709279</v>
      </c>
      <c r="O15" s="30" t="n">
        <f aca="false">IF($B15="","",1.5*(M15*COS(RADIANS(I15))*G15/2)/(E15*F15)/1000)</f>
        <v>0.217972910448664</v>
      </c>
      <c r="P15" s="22" t="n">
        <f aca="false">IF($B15="","",5*M15*COS(RADIANS(I15))*G15^4/(384*J15*1000*(E15*F15^3/12))*1000)</f>
        <v>2.22126860440388</v>
      </c>
      <c r="Q15" s="29" t="n">
        <v>300</v>
      </c>
      <c r="R15" s="15" t="str">
        <f aca="false">IF($B15="","",IF(AND(N15&lt;=K15,O15&lt;=L15,P15&lt;=G15*1000/Q15),"CUMPLE","NO CUMPLE"))</f>
        <v>CUMPLE</v>
      </c>
    </row>
    <row r="16" customFormat="false" ht="15" hidden="false" customHeight="false" outlineLevel="0" collapsed="false">
      <c r="B16" s="24"/>
      <c r="C16" s="24"/>
      <c r="D16" s="5"/>
      <c r="E16" s="30" t="str">
        <f aca="false">IF($B16="","",INDEX(Tablas!$S$5:$S$124,MATCH(D16,Tablas!$Q$5:$Q$124,0)))</f>
        <v/>
      </c>
      <c r="F16" s="30" t="str">
        <f aca="false">IF($B16="","",INDEX(Tablas!$T$5:$T$124,MATCH(D16,Tablas!$Q$5:$Q$124,0)))</f>
        <v/>
      </c>
      <c r="G16" s="32"/>
      <c r="H16" s="32"/>
      <c r="I16" s="29"/>
      <c r="J16" s="25"/>
      <c r="K16" s="32"/>
      <c r="L16" s="32"/>
      <c r="M16" s="30" t="str">
        <f aca="false">IF($B16="","",(IF(C16="TECHO",Cargas!$I$16,Cargas!$I$28)+IF(C16="TECHO",Cargas!$I$34+Cargas!$I$32,Cargas!$I$33+Cargas!$I$35))*H16+INDEX(Tablas!$R$5:$R$124,MATCH(D16,Tablas!$Q$5:$Q$124,0)))</f>
        <v/>
      </c>
      <c r="N16" s="22" t="str">
        <f aca="false">IF($B16="","",(M16*COS(RADIANS(I16))*G16^2/8)/(E16*F16^2/6)/1000)</f>
        <v/>
      </c>
      <c r="O16" s="30" t="str">
        <f aca="false">IF($B16="","",1.5*(M16*COS(RADIANS(I16))*G16/2)/(E16*F16)/1000)</f>
        <v/>
      </c>
      <c r="P16" s="22" t="str">
        <f aca="false">IF($B16="","",5*M16*COS(RADIANS(I16))*G16^4/(384*J16*1000*(E16*F16^3/12))*1000)</f>
        <v/>
      </c>
      <c r="Q16" s="29"/>
      <c r="R16" s="15" t="str">
        <f aca="false">IF($B16="","",IF(AND(N16&lt;=K16,O16&lt;=L16,P16&lt;=G16*1000/Q16),"CUMPLE","NO CUMPLE"))</f>
        <v/>
      </c>
    </row>
    <row r="17" customFormat="false" ht="15" hidden="false" customHeight="false" outlineLevel="0" collapsed="false">
      <c r="B17" s="24"/>
      <c r="C17" s="24"/>
      <c r="D17" s="5"/>
      <c r="E17" s="30" t="str">
        <f aca="false">IF($B17="","",INDEX(Tablas!$S$5:$S$124,MATCH(D17,Tablas!$Q$5:$Q$124,0)))</f>
        <v/>
      </c>
      <c r="F17" s="30" t="str">
        <f aca="false">IF($B17="","",INDEX(Tablas!$T$5:$T$124,MATCH(D17,Tablas!$Q$5:$Q$124,0)))</f>
        <v/>
      </c>
      <c r="G17" s="32"/>
      <c r="H17" s="32"/>
      <c r="I17" s="29"/>
      <c r="J17" s="25"/>
      <c r="K17" s="32"/>
      <c r="L17" s="32"/>
      <c r="M17" s="30" t="str">
        <f aca="false">IF($B17="","",(IF(C17="TECHO",Cargas!$I$16,Cargas!$I$28)+IF(C17="TECHO",Cargas!$I$34+Cargas!$I$32,Cargas!$I$33+Cargas!$I$35))*H17+INDEX(Tablas!$R$5:$R$124,MATCH(D17,Tablas!$Q$5:$Q$124,0)))</f>
        <v/>
      </c>
      <c r="N17" s="22" t="str">
        <f aca="false">IF($B17="","",(M17*COS(RADIANS(I17))*G17^2/8)/(E17*F17^2/6)/1000)</f>
        <v/>
      </c>
      <c r="O17" s="30" t="str">
        <f aca="false">IF($B17="","",1.5*(M17*COS(RADIANS(I17))*G17/2)/(E17*F17)/1000)</f>
        <v/>
      </c>
      <c r="P17" s="22" t="str">
        <f aca="false">IF($B17="","",5*M17*COS(RADIANS(I17))*G17^4/(384*J17*1000*(E17*F17^3/12))*1000)</f>
        <v/>
      </c>
      <c r="Q17" s="29"/>
      <c r="R17" s="15" t="str">
        <f aca="false">IF($B17="","",IF(AND(N17&lt;=K17,O17&lt;=L17,P17&lt;=G17*1000/Q17),"CUMPLE","NO CUMPLE"))</f>
        <v/>
      </c>
    </row>
    <row r="18" customFormat="false" ht="15" hidden="false" customHeight="false" outlineLevel="0" collapsed="false">
      <c r="B18" s="24"/>
      <c r="C18" s="24"/>
      <c r="D18" s="5"/>
      <c r="E18" s="30" t="str">
        <f aca="false">IF($B18="","",INDEX(Tablas!$S$5:$S$124,MATCH(D18,Tablas!$Q$5:$Q$124,0)))</f>
        <v/>
      </c>
      <c r="F18" s="30" t="str">
        <f aca="false">IF($B18="","",INDEX(Tablas!$T$5:$T$124,MATCH(D18,Tablas!$Q$5:$Q$124,0)))</f>
        <v/>
      </c>
      <c r="G18" s="32"/>
      <c r="H18" s="32"/>
      <c r="I18" s="29"/>
      <c r="J18" s="25"/>
      <c r="K18" s="32"/>
      <c r="L18" s="32"/>
      <c r="M18" s="30" t="str">
        <f aca="false">IF($B18="","",(IF(C18="TECHO",Cargas!$I$16,Cargas!$I$28)+IF(C18="TECHO",Cargas!$I$34+Cargas!$I$32,Cargas!$I$33+Cargas!$I$35))*H18+INDEX(Tablas!$R$5:$R$124,MATCH(D18,Tablas!$Q$5:$Q$124,0)))</f>
        <v/>
      </c>
      <c r="N18" s="22" t="str">
        <f aca="false">IF($B18="","",(M18*COS(RADIANS(I18))*G18^2/8)/(E18*F18^2/6)/1000)</f>
        <v/>
      </c>
      <c r="O18" s="30" t="str">
        <f aca="false">IF($B18="","",1.5*(M18*COS(RADIANS(I18))*G18/2)/(E18*F18)/1000)</f>
        <v/>
      </c>
      <c r="P18" s="22" t="str">
        <f aca="false">IF($B18="","",5*M18*COS(RADIANS(I18))*G18^4/(384*J18*1000*(E18*F18^3/12))*1000)</f>
        <v/>
      </c>
      <c r="Q18" s="29"/>
      <c r="R18" s="15" t="str">
        <f aca="false">IF($B18="","",IF(AND(N18&lt;=K18,O18&lt;=L18,P18&lt;=G18*1000/Q18),"CUMPLE","NO CUMPLE"))</f>
        <v/>
      </c>
    </row>
    <row r="19" customFormat="false" ht="51.75" hidden="false" customHeight="true" outlineLevel="0" collapsed="false">
      <c r="B19" s="2" t="s">
        <v>319</v>
      </c>
      <c r="C19" s="2"/>
      <c r="D19" s="2"/>
      <c r="E19" s="2"/>
      <c r="F19" s="2"/>
      <c r="G19" s="2"/>
      <c r="H19" s="2"/>
      <c r="I19" s="2"/>
      <c r="J19" s="2"/>
      <c r="K19" s="2"/>
      <c r="L19" s="2"/>
      <c r="M19" s="2"/>
      <c r="N19" s="2"/>
      <c r="O19" s="2"/>
      <c r="P19" s="2"/>
      <c r="Q19" s="2"/>
      <c r="R19" s="2"/>
    </row>
  </sheetData>
  <mergeCells count="7">
    <mergeCell ref="A1:R1"/>
    <mergeCell ref="A2:R2"/>
    <mergeCell ref="B4:N4"/>
    <mergeCell ref="E5:F5"/>
    <mergeCell ref="B11:M11"/>
    <mergeCell ref="B13:R13"/>
    <mergeCell ref="B19:R19"/>
  </mergeCells>
  <conditionalFormatting sqref="M7:M10">
    <cfRule type="expression" priority="2" aboveAverage="0" equalAverage="0" bottom="0" percent="0" rank="0" text="" dxfId="0">
      <formula>ISNUMBER(SEARCH("NO ",M7))</formula>
    </cfRule>
    <cfRule type="expression" priority="3" aboveAverage="0" equalAverage="0" bottom="0" percent="0" rank="0" text="" dxfId="1">
      <formula>OR(ISNUMBER(SEARCH("REVISAR",M7)),ISNUMBER(SEARCH("AUMENTAR",M7)))</formula>
    </cfRule>
    <cfRule type="expression" priority="4" aboveAverage="0" equalAverage="0" bottom="0" percent="0" rank="0" text="" dxfId="2">
      <formula>OR(M7="CUMPLE",M7="OK",M7="VERIFICA")</formula>
    </cfRule>
  </conditionalFormatting>
  <conditionalFormatting sqref="R15:R18">
    <cfRule type="expression" priority="5" aboveAverage="0" equalAverage="0" bottom="0" percent="0" rank="0" text="" dxfId="0">
      <formula>ISNUMBER(SEARCH("NO ",R15))</formula>
    </cfRule>
    <cfRule type="expression" priority="6" aboveAverage="0" equalAverage="0" bottom="0" percent="0" rank="0" text="" dxfId="1">
      <formula>OR(ISNUMBER(SEARCH("REVISAR",R15)),ISNUMBER(SEARCH("AUMENTAR",R15)))</formula>
    </cfRule>
    <cfRule type="expression" priority="7" aboveAverage="0" equalAverage="0" bottom="0" percent="0" rank="0" text="" dxfId="2">
      <formula>OR(R15="CUMPLE",R15="OK",R15="VERIFICA")</formula>
    </cfRule>
  </conditionalFormatting>
  <dataValidations count="5">
    <dataValidation allowBlank="true" error="Elegí un valor de la lista" errorStyle="stop" errorTitle="Valor no válido" operator="between" showDropDown="false" showErrorMessage="false" showInputMessage="false" sqref="E5" type="list">
      <formula1>"Servicio,Mayoradas"</formula1>
      <formula2>0</formula2>
    </dataValidation>
    <dataValidation allowBlank="true" error="Elegí un valor de la lista" errorStyle="stop" errorTitle="Valor no válido" operator="between" showDropDown="false" showErrorMessage="false" showInputMessage="false" sqref="C7:C10" type="list">
      <formula1>"TECHO,ENTREPISO"</formula1>
      <formula2>0</formula2>
    </dataValidation>
    <dataValidation allowBlank="true" error="Elegí un valor de la lista" errorStyle="stop" errorTitle="Valor no válido" operator="between" showDropDown="false" showErrorMessage="false" showInputMessage="false" sqref="D7:D10" type="list">
      <formula1>Tablas!$K$62:$K$71</formula1>
      <formula2>0</formula2>
    </dataValidation>
    <dataValidation allowBlank="true" error="Elegí un valor de la lista" errorStyle="stop" errorTitle="Valor no válido" operator="between" showDropDown="false" showErrorMessage="false" showInputMessage="false" sqref="C15:C18" type="list">
      <formula1>"TECHO,ENTREPISO"</formula1>
      <formula2>0</formula2>
    </dataValidation>
    <dataValidation allowBlank="true" error="Elegí un valor de la lista" errorStyle="stop" errorTitle="Valor no válido" operator="between" showDropDown="false" showErrorMessage="false" showInputMessage="false" sqref="D15:D18" type="list">
      <formula1>Tablas!$Q$5:$Q$124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58F"/>
    <pageSetUpPr fitToPage="true"/>
  </sheetPr>
  <dimension ref="A1:R4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3" min="3" style="0" width="30"/>
    <col collapsed="false" customWidth="true" hidden="false" outlineLevel="0" max="17" min="4" style="0" width="11"/>
    <col collapsed="false" customWidth="true" hidden="false" outlineLevel="0" max="18" min="18" style="0" width="13"/>
  </cols>
  <sheetData>
    <row r="1" customFormat="false" ht="27.75" hidden="false" customHeight="true" outlineLevel="0" collapsed="false">
      <c r="A1" s="1" t="s">
        <v>320</v>
      </c>
      <c r="B1" s="1"/>
      <c r="C1" s="1"/>
      <c r="D1" s="1"/>
      <c r="E1" s="1"/>
      <c r="F1" s="1"/>
      <c r="G1" s="1"/>
      <c r="H1" s="1"/>
      <c r="I1" s="1"/>
      <c r="J1" s="1"/>
      <c r="K1" s="1"/>
      <c r="L1" s="1"/>
      <c r="M1" s="1"/>
      <c r="N1" s="1"/>
      <c r="O1" s="1"/>
      <c r="P1" s="1"/>
      <c r="Q1" s="1"/>
      <c r="R1" s="1"/>
    </row>
    <row r="2" customFormat="false" ht="30" hidden="false" customHeight="true" outlineLevel="0" collapsed="false">
      <c r="A2" s="2" t="s">
        <v>321</v>
      </c>
      <c r="B2" s="2"/>
      <c r="C2" s="2"/>
      <c r="D2" s="2"/>
      <c r="E2" s="2"/>
      <c r="F2" s="2"/>
      <c r="G2" s="2"/>
      <c r="H2" s="2"/>
      <c r="I2" s="2"/>
      <c r="J2" s="2"/>
      <c r="K2" s="2"/>
      <c r="L2" s="2"/>
      <c r="M2" s="2"/>
      <c r="N2" s="2"/>
      <c r="O2" s="2"/>
      <c r="P2" s="2"/>
      <c r="Q2" s="2"/>
      <c r="R2" s="2"/>
    </row>
    <row r="4" customFormat="false" ht="19.5" hidden="false" customHeight="true" outlineLevel="0" collapsed="false">
      <c r="B4" s="3" t="s">
        <v>322</v>
      </c>
      <c r="C4" s="3"/>
      <c r="D4" s="3"/>
      <c r="E4" s="3"/>
      <c r="F4" s="3"/>
      <c r="G4" s="3"/>
      <c r="H4" s="3"/>
      <c r="I4" s="3"/>
    </row>
    <row r="5" customFormat="false" ht="42" hidden="false" customHeight="true" outlineLevel="0" collapsed="false">
      <c r="B5" s="11" t="s">
        <v>323</v>
      </c>
      <c r="C5" s="11" t="s">
        <v>230</v>
      </c>
      <c r="D5" s="11" t="s">
        <v>231</v>
      </c>
      <c r="E5" s="11" t="s">
        <v>232</v>
      </c>
      <c r="F5" s="11" t="s">
        <v>233</v>
      </c>
      <c r="G5" s="11" t="s">
        <v>234</v>
      </c>
      <c r="H5" s="11" t="s">
        <v>235</v>
      </c>
      <c r="I5" s="11" t="s">
        <v>236</v>
      </c>
    </row>
    <row r="6" customFormat="false" ht="16.5" hidden="false" customHeight="true" outlineLevel="0" collapsed="false">
      <c r="B6" s="24" t="s">
        <v>324</v>
      </c>
      <c r="C6" s="5" t="s">
        <v>241</v>
      </c>
      <c r="D6" s="32" t="n">
        <v>3.5</v>
      </c>
      <c r="E6" s="33" t="n">
        <f aca="false">IF($B6="","",INDEX(Tablas!$L$43:$O$44,2,MATCH(C6,Tablas!$L$42:$O$42,0)))</f>
        <v>18.5</v>
      </c>
      <c r="F6" s="30" t="n">
        <f aca="false">IF($B6="","",IF(Datos!$C$25=420,1,0.4+Datos!$C$25/700))</f>
        <v>1</v>
      </c>
      <c r="G6" s="33" t="n">
        <f aca="false">IF($B6="","",D6/E6*F6*100)</f>
        <v>18.9189189189189</v>
      </c>
      <c r="H6" s="29" t="n">
        <v>40</v>
      </c>
      <c r="I6" s="15" t="str">
        <f aca="false">IF($B6="","",IF(H6&gt;=G6,"CUMPLE","NO CUMPLE"))</f>
        <v>CUMPLE</v>
      </c>
    </row>
    <row r="7" customFormat="false" ht="16.5" hidden="false" customHeight="true" outlineLevel="0" collapsed="false">
      <c r="B7" s="24" t="s">
        <v>325</v>
      </c>
      <c r="C7" s="5" t="s">
        <v>239</v>
      </c>
      <c r="D7" s="32" t="n">
        <v>3</v>
      </c>
      <c r="E7" s="33" t="n">
        <f aca="false">IF($B7="","",INDEX(Tablas!$L$43:$O$44,2,MATCH(C7,Tablas!$L$42:$O$42,0)))</f>
        <v>16</v>
      </c>
      <c r="F7" s="30" t="n">
        <f aca="false">IF($B7="","",IF(Datos!$C$25=420,1,0.4+Datos!$C$25/700))</f>
        <v>1</v>
      </c>
      <c r="G7" s="33" t="n">
        <f aca="false">IF($B7="","",D7/E7*F7*100)</f>
        <v>18.75</v>
      </c>
      <c r="H7" s="29" t="n">
        <v>40</v>
      </c>
      <c r="I7" s="15" t="str">
        <f aca="false">IF($B7="","",IF(H7&gt;=G7,"CUMPLE","NO CUMPLE"))</f>
        <v>CUMPLE</v>
      </c>
    </row>
    <row r="8" customFormat="false" ht="15" hidden="false" customHeight="false" outlineLevel="0" collapsed="false">
      <c r="B8" s="24"/>
      <c r="C8" s="5"/>
      <c r="D8" s="32"/>
      <c r="E8" s="33" t="str">
        <f aca="false">IF($B8="","",INDEX(Tablas!$L$43:$O$44,2,MATCH(C8,Tablas!$L$42:$O$42,0)))</f>
        <v/>
      </c>
      <c r="F8" s="30" t="str">
        <f aca="false">IF($B8="","",IF(Datos!$C$25=420,1,0.4+Datos!$C$25/700))</f>
        <v/>
      </c>
      <c r="G8" s="33" t="str">
        <f aca="false">IF($B8="","",D8/E8*F8*100)</f>
        <v/>
      </c>
      <c r="H8" s="29"/>
      <c r="I8" s="15" t="str">
        <f aca="false">IF($B8="","",IF(H8&gt;=G8,"CUMPLE","NO CUMPLE"))</f>
        <v/>
      </c>
    </row>
    <row r="9" customFormat="false" ht="15" hidden="false" customHeight="false" outlineLevel="0" collapsed="false">
      <c r="B9" s="24"/>
      <c r="C9" s="5"/>
      <c r="D9" s="32"/>
      <c r="E9" s="33" t="str">
        <f aca="false">IF($B9="","",INDEX(Tablas!$L$43:$O$44,2,MATCH(C9,Tablas!$L$42:$O$42,0)))</f>
        <v/>
      </c>
      <c r="F9" s="30" t="str">
        <f aca="false">IF($B9="","",IF(Datos!$C$25=420,1,0.4+Datos!$C$25/700))</f>
        <v/>
      </c>
      <c r="G9" s="33" t="str">
        <f aca="false">IF($B9="","",D9/E9*F9*100)</f>
        <v/>
      </c>
      <c r="H9" s="29"/>
      <c r="I9" s="15" t="str">
        <f aca="false">IF($B9="","",IF(H9&gt;=G9,"CUMPLE","NO CUMPLE"))</f>
        <v/>
      </c>
    </row>
    <row r="10" customFormat="false" ht="15" hidden="false" customHeight="false" outlineLevel="0" collapsed="false">
      <c r="B10" s="24"/>
      <c r="C10" s="5"/>
      <c r="D10" s="32"/>
      <c r="E10" s="33" t="str">
        <f aca="false">IF($B10="","",INDEX(Tablas!$L$43:$O$44,2,MATCH(C10,Tablas!$L$42:$O$42,0)))</f>
        <v/>
      </c>
      <c r="F10" s="30" t="str">
        <f aca="false">IF($B10="","",IF(Datos!$C$25=420,1,0.4+Datos!$C$25/700))</f>
        <v/>
      </c>
      <c r="G10" s="33" t="str">
        <f aca="false">IF($B10="","",D10/E10*F10*100)</f>
        <v/>
      </c>
      <c r="H10" s="29"/>
      <c r="I10" s="15" t="str">
        <f aca="false">IF($B10="","",IF(H10&gt;=G10,"CUMPLE","NO CUMPLE"))</f>
        <v/>
      </c>
    </row>
    <row r="11" customFormat="false" ht="15" hidden="false" customHeight="false" outlineLevel="0" collapsed="false">
      <c r="B11" s="24"/>
      <c r="C11" s="5"/>
      <c r="D11" s="32"/>
      <c r="E11" s="33" t="str">
        <f aca="false">IF($B11="","",INDEX(Tablas!$L$43:$O$44,2,MATCH(C11,Tablas!$L$42:$O$42,0)))</f>
        <v/>
      </c>
      <c r="F11" s="30" t="str">
        <f aca="false">IF($B11="","",IF(Datos!$C$25=420,1,0.4+Datos!$C$25/700))</f>
        <v/>
      </c>
      <c r="G11" s="33" t="str">
        <f aca="false">IF($B11="","",D11/E11*F11*100)</f>
        <v/>
      </c>
      <c r="H11" s="29"/>
      <c r="I11" s="15" t="str">
        <f aca="false">IF($B11="","",IF(H11&gt;=G11,"CUMPLE","NO CUMPLE"))</f>
        <v/>
      </c>
    </row>
    <row r="13" customFormat="false" ht="19.5" hidden="false" customHeight="true" outlineLevel="0" collapsed="false">
      <c r="B13" s="3" t="s">
        <v>326</v>
      </c>
      <c r="C13" s="3"/>
      <c r="D13" s="3"/>
      <c r="E13" s="3"/>
      <c r="F13" s="3"/>
      <c r="G13" s="3"/>
      <c r="H13" s="3"/>
      <c r="I13" s="3"/>
      <c r="J13" s="3"/>
      <c r="K13" s="3"/>
      <c r="L13" s="3"/>
      <c r="M13" s="3"/>
      <c r="N13" s="3"/>
      <c r="O13" s="3"/>
    </row>
    <row r="14" customFormat="false" ht="61.5" hidden="false" customHeight="true" outlineLevel="0" collapsed="false">
      <c r="B14" s="11" t="s">
        <v>323</v>
      </c>
      <c r="C14" s="11" t="s">
        <v>247</v>
      </c>
      <c r="D14" s="11" t="s">
        <v>327</v>
      </c>
      <c r="E14" s="11" t="s">
        <v>249</v>
      </c>
      <c r="F14" s="11" t="s">
        <v>248</v>
      </c>
      <c r="G14" s="11" t="s">
        <v>328</v>
      </c>
      <c r="H14" s="11" t="s">
        <v>329</v>
      </c>
      <c r="I14" s="11" t="s">
        <v>330</v>
      </c>
      <c r="J14" s="11" t="s">
        <v>331</v>
      </c>
      <c r="K14" s="11" t="s">
        <v>332</v>
      </c>
      <c r="L14" s="11" t="s">
        <v>333</v>
      </c>
      <c r="M14" s="11" t="s">
        <v>334</v>
      </c>
      <c r="N14" s="11" t="s">
        <v>335</v>
      </c>
      <c r="O14" s="11" t="s">
        <v>336</v>
      </c>
    </row>
    <row r="15" customFormat="false" ht="30" hidden="false" customHeight="true" outlineLevel="0" collapsed="false">
      <c r="B15" s="35" t="str">
        <f aca="false">IF(B6="","",B6)</f>
        <v>V1</v>
      </c>
      <c r="C15" s="5" t="s">
        <v>337</v>
      </c>
      <c r="D15" s="29" t="n">
        <v>20</v>
      </c>
      <c r="E15" s="14" t="n">
        <f aca="false">IF($B15="","",H6)</f>
        <v>40</v>
      </c>
      <c r="F15" s="22" t="n">
        <f aca="false">IF($B15="","",D6)</f>
        <v>3.5</v>
      </c>
      <c r="G15" s="29" t="n">
        <v>8</v>
      </c>
      <c r="H15" s="38" t="n">
        <f aca="false">Losas!$O$17</f>
        <v>37.47712</v>
      </c>
      <c r="I15" s="38" t="n">
        <f aca="false">Cargas!$I$51</f>
        <v>5.616</v>
      </c>
      <c r="J15" s="32" t="n">
        <v>0</v>
      </c>
      <c r="K15" s="22" t="n">
        <f aca="false">IF($B15="","",Datos!$C$17*D15*E15/10000+N(I15))</f>
        <v>7.616</v>
      </c>
      <c r="L15" s="31" t="n">
        <f aca="false">IF($B15="","",N(H15)+MAX(1.4*K15,1.2*K15+1.6*N(J15)))</f>
        <v>48.13952</v>
      </c>
      <c r="M15" s="22" t="n">
        <f aca="false">IF($B15="","",INDEX(Tablas!$L$34:$L$38,MATCH(C15,Tablas!$K$34:$K$38,0))*L15*F15^2)</f>
        <v>53.60992</v>
      </c>
      <c r="N15" s="22" t="n">
        <f aca="false">IF($B15="","",INDEX(Tablas!$M$34:$M$38,MATCH(C15,Tablas!$K$34:$K$38,0))*L15*F15^2)</f>
        <v>65.5232355555556</v>
      </c>
      <c r="O15" s="22" t="n">
        <f aca="false">IF($B15="","",INDEX(Tablas!$N$34:$N$38,MATCH(C15,Tablas!$K$34:$K$38,0))*L15*F15)</f>
        <v>96.880784</v>
      </c>
    </row>
    <row r="16" customFormat="false" ht="16.5" hidden="false" customHeight="true" outlineLevel="0" collapsed="false">
      <c r="B16" s="35" t="str">
        <f aca="false">IF(B7="","",B7)</f>
        <v>V2</v>
      </c>
      <c r="C16" s="5" t="s">
        <v>259</v>
      </c>
      <c r="D16" s="29" t="n">
        <v>20</v>
      </c>
      <c r="E16" s="14" t="n">
        <f aca="false">IF($B16="","",H7)</f>
        <v>40</v>
      </c>
      <c r="F16" s="22" t="n">
        <f aca="false">IF($B16="","",D7)</f>
        <v>3</v>
      </c>
      <c r="G16" s="29" t="n">
        <v>8</v>
      </c>
      <c r="H16" s="38" t="n">
        <f aca="false">Losas!$N$16</f>
        <v>13.002</v>
      </c>
      <c r="I16" s="32" t="n">
        <v>0</v>
      </c>
      <c r="J16" s="32" t="n">
        <v>0</v>
      </c>
      <c r="K16" s="22" t="n">
        <f aca="false">IF($B16="","",Datos!$C$17*D16*E16/10000+N(I16))</f>
        <v>2</v>
      </c>
      <c r="L16" s="31" t="n">
        <f aca="false">IF($B16="","",N(H16)+MAX(1.4*K16,1.2*K16+1.6*N(J16)))</f>
        <v>15.802</v>
      </c>
      <c r="M16" s="22" t="n">
        <f aca="false">IF($B16="","",INDEX(Tablas!$L$34:$L$38,MATCH(C16,Tablas!$K$34:$K$38,0))*L16*F16^2)</f>
        <v>17.77725</v>
      </c>
      <c r="N16" s="22" t="n">
        <f aca="false">IF($B16="","",INDEX(Tablas!$M$34:$M$38,MATCH(C16,Tablas!$K$34:$K$38,0))*L16*F16^2)</f>
        <v>0</v>
      </c>
      <c r="O16" s="22" t="n">
        <f aca="false">IF($B16="","",INDEX(Tablas!$N$34:$N$38,MATCH(C16,Tablas!$K$34:$K$38,0))*L16*F16)</f>
        <v>23.703</v>
      </c>
    </row>
    <row r="17" customFormat="false" ht="15" hidden="false" customHeight="false" outlineLevel="0" collapsed="false">
      <c r="B17" s="35" t="str">
        <f aca="false">IF(B8="","",B8)</f>
        <v/>
      </c>
      <c r="C17" s="5"/>
      <c r="D17" s="29"/>
      <c r="E17" s="14" t="str">
        <f aca="false">IF($B17="","",H8)</f>
        <v/>
      </c>
      <c r="F17" s="22" t="str">
        <f aca="false">IF($B17="","",D8)</f>
        <v/>
      </c>
      <c r="G17" s="29"/>
      <c r="H17" s="32"/>
      <c r="I17" s="32"/>
      <c r="J17" s="32"/>
      <c r="K17" s="22" t="str">
        <f aca="false">IF($B17="","",Datos!$C$17*D17*E17/10000+N(I17))</f>
        <v/>
      </c>
      <c r="L17" s="31" t="str">
        <f aca="false">IF($B17="","",N(H17)+MAX(1.4*K17,1.2*K17+1.6*N(J17)))</f>
        <v/>
      </c>
      <c r="M17" s="22" t="str">
        <f aca="false">IF($B17="","",INDEX(Tablas!$L$34:$L$38,MATCH(C17,Tablas!$K$34:$K$38,0))*L17*F17^2)</f>
        <v/>
      </c>
      <c r="N17" s="22" t="str">
        <f aca="false">IF($B17="","",INDEX(Tablas!$M$34:$M$38,MATCH(C17,Tablas!$K$34:$K$38,0))*L17*F17^2)</f>
        <v/>
      </c>
      <c r="O17" s="22" t="str">
        <f aca="false">IF($B17="","",INDEX(Tablas!$N$34:$N$38,MATCH(C17,Tablas!$K$34:$K$38,0))*L17*F17)</f>
        <v/>
      </c>
    </row>
    <row r="18" customFormat="false" ht="15" hidden="false" customHeight="false" outlineLevel="0" collapsed="false">
      <c r="B18" s="35" t="str">
        <f aca="false">IF(B9="","",B9)</f>
        <v/>
      </c>
      <c r="C18" s="5"/>
      <c r="D18" s="29"/>
      <c r="E18" s="14" t="str">
        <f aca="false">IF($B18="","",H9)</f>
        <v/>
      </c>
      <c r="F18" s="22" t="str">
        <f aca="false">IF($B18="","",D9)</f>
        <v/>
      </c>
      <c r="G18" s="29"/>
      <c r="H18" s="32"/>
      <c r="I18" s="32"/>
      <c r="J18" s="32"/>
      <c r="K18" s="22" t="str">
        <f aca="false">IF($B18="","",Datos!$C$17*D18*E18/10000+N(I18))</f>
        <v/>
      </c>
      <c r="L18" s="31" t="str">
        <f aca="false">IF($B18="","",N(H18)+MAX(1.4*K18,1.2*K18+1.6*N(J18)))</f>
        <v/>
      </c>
      <c r="M18" s="22" t="str">
        <f aca="false">IF($B18="","",INDEX(Tablas!$L$34:$L$38,MATCH(C18,Tablas!$K$34:$K$38,0))*L18*F18^2)</f>
        <v/>
      </c>
      <c r="N18" s="22" t="str">
        <f aca="false">IF($B18="","",INDEX(Tablas!$M$34:$M$38,MATCH(C18,Tablas!$K$34:$K$38,0))*L18*F18^2)</f>
        <v/>
      </c>
      <c r="O18" s="22" t="str">
        <f aca="false">IF($B18="","",INDEX(Tablas!$N$34:$N$38,MATCH(C18,Tablas!$K$34:$K$38,0))*L18*F18)</f>
        <v/>
      </c>
    </row>
    <row r="19" customFormat="false" ht="15" hidden="false" customHeight="false" outlineLevel="0" collapsed="false">
      <c r="B19" s="35" t="str">
        <f aca="false">IF(B10="","",B10)</f>
        <v/>
      </c>
      <c r="C19" s="5"/>
      <c r="D19" s="29"/>
      <c r="E19" s="14" t="str">
        <f aca="false">IF($B19="","",H10)</f>
        <v/>
      </c>
      <c r="F19" s="22" t="str">
        <f aca="false">IF($B19="","",D10)</f>
        <v/>
      </c>
      <c r="G19" s="29"/>
      <c r="H19" s="32"/>
      <c r="I19" s="32"/>
      <c r="J19" s="32"/>
      <c r="K19" s="22" t="str">
        <f aca="false">IF($B19="","",Datos!$C$17*D19*E19/10000+N(I19))</f>
        <v/>
      </c>
      <c r="L19" s="31" t="str">
        <f aca="false">IF($B19="","",N(H19)+MAX(1.4*K19,1.2*K19+1.6*N(J19)))</f>
        <v/>
      </c>
      <c r="M19" s="22" t="str">
        <f aca="false">IF($B19="","",INDEX(Tablas!$L$34:$L$38,MATCH(C19,Tablas!$K$34:$K$38,0))*L19*F19^2)</f>
        <v/>
      </c>
      <c r="N19" s="22" t="str">
        <f aca="false">IF($B19="","",INDEX(Tablas!$M$34:$M$38,MATCH(C19,Tablas!$K$34:$K$38,0))*L19*F19^2)</f>
        <v/>
      </c>
      <c r="O19" s="22" t="str">
        <f aca="false">IF($B19="","",INDEX(Tablas!$N$34:$N$38,MATCH(C19,Tablas!$K$34:$K$38,0))*L19*F19)</f>
        <v/>
      </c>
    </row>
    <row r="20" customFormat="false" ht="15" hidden="false" customHeight="false" outlineLevel="0" collapsed="false">
      <c r="B20" s="35" t="str">
        <f aca="false">IF(B11="","",B11)</f>
        <v/>
      </c>
      <c r="C20" s="5"/>
      <c r="D20" s="29"/>
      <c r="E20" s="14" t="str">
        <f aca="false">IF($B20="","",H11)</f>
        <v/>
      </c>
      <c r="F20" s="22" t="str">
        <f aca="false">IF($B20="","",D11)</f>
        <v/>
      </c>
      <c r="G20" s="29"/>
      <c r="H20" s="32"/>
      <c r="I20" s="32"/>
      <c r="J20" s="32"/>
      <c r="K20" s="22" t="str">
        <f aca="false">IF($B20="","",Datos!$C$17*D20*E20/10000+N(I20))</f>
        <v/>
      </c>
      <c r="L20" s="31" t="str">
        <f aca="false">IF($B20="","",N(H20)+MAX(1.4*K20,1.2*K20+1.6*N(J20)))</f>
        <v/>
      </c>
      <c r="M20" s="22" t="str">
        <f aca="false">IF($B20="","",INDEX(Tablas!$L$34:$L$38,MATCH(C20,Tablas!$K$34:$K$38,0))*L20*F20^2)</f>
        <v/>
      </c>
      <c r="N20" s="22" t="str">
        <f aca="false">IF($B20="","",INDEX(Tablas!$M$34:$M$38,MATCH(C20,Tablas!$K$34:$K$38,0))*L20*F20^2)</f>
        <v/>
      </c>
      <c r="O20" s="22" t="str">
        <f aca="false">IF($B20="","",INDEX(Tablas!$N$34:$N$38,MATCH(C20,Tablas!$K$34:$K$38,0))*L20*F20)</f>
        <v/>
      </c>
    </row>
    <row r="21" customFormat="false" ht="36" hidden="false" customHeight="true" outlineLevel="0" collapsed="false">
      <c r="B21" s="2" t="s">
        <v>338</v>
      </c>
      <c r="C21" s="2"/>
      <c r="D21" s="2"/>
      <c r="E21" s="2"/>
      <c r="F21" s="2"/>
      <c r="G21" s="2"/>
      <c r="H21" s="2"/>
      <c r="I21" s="2"/>
      <c r="J21" s="2"/>
      <c r="K21" s="2"/>
      <c r="L21" s="2"/>
      <c r="M21" s="2"/>
      <c r="N21" s="2"/>
      <c r="O21" s="2"/>
    </row>
    <row r="23" customFormat="false" ht="19.5" hidden="false" customHeight="true" outlineLevel="0" collapsed="false">
      <c r="B23" s="3" t="s">
        <v>339</v>
      </c>
      <c r="C23" s="3"/>
      <c r="D23" s="3"/>
      <c r="E23" s="3"/>
      <c r="F23" s="3"/>
      <c r="G23" s="3"/>
      <c r="H23" s="3"/>
      <c r="I23" s="3"/>
      <c r="J23" s="3"/>
      <c r="K23" s="3"/>
      <c r="L23" s="3"/>
      <c r="M23" s="3"/>
      <c r="N23" s="3"/>
      <c r="O23" s="3"/>
      <c r="P23" s="3"/>
      <c r="Q23" s="3"/>
      <c r="R23" s="3"/>
    </row>
    <row r="24" customFormat="false" ht="51.75" hidden="false" customHeight="true" outlineLevel="0" collapsed="false">
      <c r="B24" s="11" t="s">
        <v>323</v>
      </c>
      <c r="C24" s="11" t="s">
        <v>340</v>
      </c>
      <c r="D24" s="11" t="s">
        <v>341</v>
      </c>
      <c r="E24" s="11" t="s">
        <v>342</v>
      </c>
      <c r="F24" s="11" t="s">
        <v>270</v>
      </c>
      <c r="G24" s="11" t="s">
        <v>264</v>
      </c>
      <c r="H24" s="11" t="s">
        <v>266</v>
      </c>
      <c r="I24" s="11" t="s">
        <v>343</v>
      </c>
      <c r="J24" s="11" t="s">
        <v>344</v>
      </c>
      <c r="K24" s="11" t="s">
        <v>345</v>
      </c>
      <c r="L24" s="11" t="s">
        <v>346</v>
      </c>
      <c r="M24" s="11" t="s">
        <v>347</v>
      </c>
      <c r="N24" s="11" t="s">
        <v>348</v>
      </c>
      <c r="O24" s="11" t="s">
        <v>349</v>
      </c>
      <c r="P24" s="11" t="s">
        <v>236</v>
      </c>
    </row>
    <row r="25" customFormat="false" ht="15" hidden="false" customHeight="false" outlineLevel="0" collapsed="false">
      <c r="B25" s="35" t="str">
        <f aca="false">IF(B15="","",B15)</f>
        <v>V1</v>
      </c>
      <c r="C25" s="6" t="str">
        <f aca="false">IF($B25="","","Apoyo (−) – armadura superior")</f>
        <v>Apoyo (−) – armadura superior</v>
      </c>
      <c r="D25" s="22" t="n">
        <f aca="false">IF($B25="","",N15)</f>
        <v>65.5232355555556</v>
      </c>
      <c r="E25" s="29" t="n">
        <v>3</v>
      </c>
      <c r="F25" s="29" t="n">
        <v>16</v>
      </c>
      <c r="G25" s="33" t="n">
        <f aca="false">IF($B25="","",IF(F25="","",E15-Datos!$C$19/10-G15/10-F25/20))</f>
        <v>34.4</v>
      </c>
      <c r="H25" s="22" t="n">
        <f aca="false">IF($B25="","",IF(OR(G25="",D25=0),0,D25*10^6/(0.9*D15*10*(G25*10)^2)))</f>
        <v>3.0761389206044</v>
      </c>
      <c r="I25" s="22" t="n">
        <f aca="false">IF($B25="","",IF(G25="","",IF(1-2*H25/(0.85*Datos!$C$14)&lt;0,"AUMENTAR sección",0.85*Datos!$C$14/Datos!$C$25*(1-SQRT(1-2*H25/(0.85*Datos!$C$14)))*D15*10*G25*10/100)))</f>
        <v>5.46856312469099</v>
      </c>
      <c r="J25" s="22" t="n">
        <f aca="false">IF($B25="","",IF(G25="","",IF(D25=0,0,MAX(SQRT(Datos!$C$14)/(4*Datos!$C$25),1.4/Datos!$C$25)*D15*10*G25*10/100)))</f>
        <v>2.29333333333333</v>
      </c>
      <c r="K25" s="22" t="n">
        <f aca="false">IF($B25="","",IF(OR(E25="",F25=""),"",E25*PI()*F25^2/400))</f>
        <v>6.0318578948924</v>
      </c>
      <c r="L25" s="30" t="n">
        <f aca="false">IF($B25="","",IF(K25="","",K25*100*Datos!$C$25/(0.85*Datos!$C$14*D15*10)/Datos!$C$16/(G25*10)))</f>
        <v>0.203860973352765</v>
      </c>
      <c r="M25" s="33" t="n">
        <f aca="false">IF($B25="","",IF(K25="","",0.9*K25*100*Datos!$C$25*(G25*10-K25*100*Datos!$C$25/(0.85*Datos!$C$14*D15*10)/2)/10^6))</f>
        <v>71.6379084114713</v>
      </c>
      <c r="N25" s="14" t="n">
        <f aca="false">IF($B25="","",IF(OR(E25="",F25=""),"",IF(E25&lt;2,"",(D15*10-2*Datos!$C$19-2*G15-E25*F25)/(E25-1))))</f>
        <v>28</v>
      </c>
      <c r="O25" s="14" t="n">
        <f aca="false">IF($B25="","",IF(F25="","",MAX(25,F25)))</f>
        <v>25</v>
      </c>
      <c r="P25" s="15" t="str">
        <f aca="false">IF($B25="","",IF(D25=0,"–",IF(NOT(ISNUMBER(I25)),"AUMENTAR sección",IF(K25="","REVISAR",IF(AND(K25&gt;=I25,K25&gt;=J25,M25&gt;=D25,L25&lt;=0.375,OR(N25="",N25&gt;=O25)),"CUMPLE","NO CUMPLE")))))</f>
        <v>CUMPLE</v>
      </c>
    </row>
    <row r="26" customFormat="false" ht="15" hidden="false" customHeight="false" outlineLevel="0" collapsed="false">
      <c r="B26" s="35" t="str">
        <f aca="false">IF(B15="","",B15)</f>
        <v>V1</v>
      </c>
      <c r="C26" s="6" t="str">
        <f aca="false">IF($B26="","","Tramo (+) – armadura inferior")</f>
        <v>Tramo (+) – armadura inferior</v>
      </c>
      <c r="D26" s="22" t="n">
        <f aca="false">IF($B26="","",M15)</f>
        <v>53.60992</v>
      </c>
      <c r="E26" s="29" t="n">
        <v>3</v>
      </c>
      <c r="F26" s="29" t="n">
        <v>14</v>
      </c>
      <c r="G26" s="33" t="n">
        <f aca="false">IF($B26="","",IF(F26="","",E15-Datos!$C$19/10-G15/10-F26/20))</f>
        <v>34.5</v>
      </c>
      <c r="H26" s="22" t="n">
        <f aca="false">IF($B26="","",IF(OR(G26="",D26=0),0,D26*10^6/(0.9*D15*10*(G26*10)^2)))</f>
        <v>2.50227169828934</v>
      </c>
      <c r="I26" s="22" t="n">
        <f aca="false">IF($B26="","",IF(G26="","",IF(1-2*H26/(0.85*Datos!$C$14)&lt;0,"AUMENTAR sección",0.85*Datos!$C$14/Datos!$C$25*(1-SQRT(1-2*H26/(0.85*Datos!$C$14)))*D15*10*G26*10/100)))</f>
        <v>4.38644834130625</v>
      </c>
      <c r="J26" s="22" t="n">
        <f aca="false">IF($B26="","",IF(G26="","",IF(D26=0,0,MAX(SQRT(Datos!$C$14)/(4*Datos!$C$25),1.4/Datos!$C$25)*D15*10*G26*10/100)))</f>
        <v>2.3</v>
      </c>
      <c r="K26" s="22" t="n">
        <f aca="false">IF($B26="","",IF(OR(E26="",F26=""),"",E26*PI()*F26^2/400))</f>
        <v>4.618141200777</v>
      </c>
      <c r="L26" s="30" t="n">
        <f aca="false">IF($B26="","",IF(K26="","",K26*100*Datos!$C$25/(0.85*Datos!$C$14*D15*10)/Datos!$C$16/(G26*10)))</f>
        <v>0.155628648860245</v>
      </c>
      <c r="M26" s="33" t="n">
        <f aca="false">IF($B26="","",IF(K26="","",0.9*K26*100*Datos!$C$25*(G26*10-K26*100*Datos!$C$25/(0.85*Datos!$C$14*D15*10)/2)/10^6))</f>
        <v>56.2417549979871</v>
      </c>
      <c r="N26" s="14" t="n">
        <f aca="false">IF($B26="","",IF(OR(E26="",F26=""),"",IF(E26&lt;2,"",(D15*10-2*Datos!$C$19-2*G15-E26*F26)/(E26-1))))</f>
        <v>31</v>
      </c>
      <c r="O26" s="14" t="n">
        <f aca="false">IF($B26="","",IF(F26="","",MAX(25,F26)))</f>
        <v>25</v>
      </c>
      <c r="P26" s="15" t="str">
        <f aca="false">IF($B26="","",IF(D26=0,"–",IF(NOT(ISNUMBER(I26)),"AUMENTAR sección",IF(K26="","REVISAR",IF(AND(K26&gt;=I26,K26&gt;=J26,M26&gt;=D26,L26&lt;=0.375,OR(N26="",N26&gt;=O26)),"CUMPLE","NO CUMPLE")))))</f>
        <v>CUMPLE</v>
      </c>
    </row>
    <row r="27" customFormat="false" ht="15" hidden="false" customHeight="false" outlineLevel="0" collapsed="false">
      <c r="B27" s="35" t="str">
        <f aca="false">IF(B16="","",B16)</f>
        <v>V2</v>
      </c>
      <c r="C27" s="6" t="str">
        <f aca="false">IF($B27="","","Apoyo (−) – armadura superior")</f>
        <v>Apoyo (−) – armadura superior</v>
      </c>
      <c r="D27" s="22" t="n">
        <f aca="false">IF($B27="","",N16)</f>
        <v>0</v>
      </c>
      <c r="E27" s="29"/>
      <c r="F27" s="29"/>
      <c r="G27" s="33" t="str">
        <f aca="false">IF($B27="","",IF(F27="","",E16-Datos!$C$19/10-G16/10-F27/20))</f>
        <v/>
      </c>
      <c r="H27" s="22" t="n">
        <f aca="false">IF($B27="","",IF(OR(G27="",D27=0),0,D27*10^6/(0.9*D16*10*(G27*10)^2)))</f>
        <v>0</v>
      </c>
      <c r="I27" s="22" t="str">
        <f aca="false">IF($B27="","",IF(G27="","",IF(1-2*H27/(0.85*Datos!$C$14)&lt;0,"AUMENTAR sección",0.85*Datos!$C$14/Datos!$C$25*(1-SQRT(1-2*H27/(0.85*Datos!$C$14)))*D16*10*G27*10/100)))</f>
        <v/>
      </c>
      <c r="J27" s="22" t="str">
        <f aca="false">IF($B27="","",IF(G27="","",IF(D27=0,0,MAX(SQRT(Datos!$C$14)/(4*Datos!$C$25),1.4/Datos!$C$25)*D16*10*G27*10/100)))</f>
        <v/>
      </c>
      <c r="K27" s="22" t="str">
        <f aca="false">IF($B27="","",IF(OR(E27="",F27=""),"",E27*PI()*F27^2/400))</f>
        <v/>
      </c>
      <c r="L27" s="30" t="str">
        <f aca="false">IF($B27="","",IF(K27="","",K27*100*Datos!$C$25/(0.85*Datos!$C$14*D16*10)/Datos!$C$16/(G27*10)))</f>
        <v/>
      </c>
      <c r="M27" s="33" t="str">
        <f aca="false">IF($B27="","",IF(K27="","",0.9*K27*100*Datos!$C$25*(G27*10-K27*100*Datos!$C$25/(0.85*Datos!$C$14*D16*10)/2)/10^6))</f>
        <v/>
      </c>
      <c r="N27" s="14" t="str">
        <f aca="false">IF($B27="","",IF(OR(E27="",F27=""),"",IF(E27&lt;2,"",(D16*10-2*Datos!$C$19-2*G16-E27*F27)/(E27-1))))</f>
        <v/>
      </c>
      <c r="O27" s="14" t="str">
        <f aca="false">IF($B27="","",IF(F27="","",MAX(25,F27)))</f>
        <v/>
      </c>
      <c r="P27" s="15" t="str">
        <f aca="false">IF($B27="","",IF(D27=0,"–",IF(NOT(ISNUMBER(I27)),"AUMENTAR sección",IF(K27="","REVISAR",IF(AND(K27&gt;=I27,K27&gt;=J27,M27&gt;=D27,L27&lt;=0.375,OR(N27="",N27&gt;=O27)),"CUMPLE","NO CUMPLE")))))</f>
        <v>–</v>
      </c>
    </row>
    <row r="28" customFormat="false" ht="15" hidden="false" customHeight="false" outlineLevel="0" collapsed="false">
      <c r="B28" s="35" t="str">
        <f aca="false">IF(B16="","",B16)</f>
        <v>V2</v>
      </c>
      <c r="C28" s="6" t="str">
        <f aca="false">IF($B28="","","Tramo (+) – armadura inferior")</f>
        <v>Tramo (+) – armadura inferior</v>
      </c>
      <c r="D28" s="22" t="n">
        <f aca="false">IF($B28="","",M16)</f>
        <v>17.77725</v>
      </c>
      <c r="E28" s="29" t="n">
        <v>3</v>
      </c>
      <c r="F28" s="29" t="n">
        <v>12</v>
      </c>
      <c r="G28" s="33" t="n">
        <f aca="false">IF($B28="","",IF(F28="","",E16-Datos!$C$19/10-G16/10-F28/20))</f>
        <v>34.6</v>
      </c>
      <c r="H28" s="22" t="n">
        <f aca="false">IF($B28="","",IF(OR(G28="",D28=0),0,D28*10^6/(0.9*D16*10*(G28*10)^2)))</f>
        <v>0.824973270072505</v>
      </c>
      <c r="I28" s="22" t="n">
        <f aca="false">IF($B28="","",IF(G28="","",IF(1-2*H28/(0.85*Datos!$C$14)&lt;0,"AUMENTAR sección",0.85*Datos!$C$14/Datos!$C$25*(1-SQRT(1-2*H28/(0.85*Datos!$C$14)))*D16*10*G28*10/100)))</f>
        <v>1.386702977955</v>
      </c>
      <c r="J28" s="22" t="n">
        <f aca="false">IF($B28="","",IF(G28="","",IF(D28=0,0,MAX(SQRT(Datos!$C$14)/(4*Datos!$C$25),1.4/Datos!$C$25)*D16*10*G28*10/100)))</f>
        <v>2.30666666666667</v>
      </c>
      <c r="K28" s="22" t="n">
        <f aca="false">IF($B28="","",IF(OR(E28="",F28=""),"",E28*PI()*F28^2/400))</f>
        <v>3.39292006587698</v>
      </c>
      <c r="L28" s="30" t="n">
        <f aca="false">IF($B28="","",IF(K28="","",K28*100*Datos!$C$25/(0.85*Datos!$C$14*D16*10)/Datos!$C$16/(G28*10)))</f>
        <v>0.114008954750751</v>
      </c>
      <c r="M28" s="33" t="n">
        <f aca="false">IF($B28="","",IF(K28="","",0.9*K28*100*Datos!$C$25*(G28*10-K28*100*Datos!$C$25/(0.85*Datos!$C$14*D16*10)/2)/10^6))</f>
        <v>42.2251696780649</v>
      </c>
      <c r="N28" s="14" t="n">
        <f aca="false">IF($B28="","",IF(OR(E28="",F28=""),"",IF(E28&lt;2,"",(D16*10-2*Datos!$C$19-2*G16-E28*F28)/(E28-1))))</f>
        <v>34</v>
      </c>
      <c r="O28" s="14" t="n">
        <f aca="false">IF($B28="","",IF(F28="","",MAX(25,F28)))</f>
        <v>25</v>
      </c>
      <c r="P28" s="15" t="str">
        <f aca="false">IF($B28="","",IF(D28=0,"–",IF(NOT(ISNUMBER(I28)),"AUMENTAR sección",IF(K28="","REVISAR",IF(AND(K28&gt;=I28,K28&gt;=J28,M28&gt;=D28,L28&lt;=0.375,OR(N28="",N28&gt;=O28)),"CUMPLE","NO CUMPLE")))))</f>
        <v>CUMPLE</v>
      </c>
    </row>
    <row r="29" customFormat="false" ht="15" hidden="false" customHeight="false" outlineLevel="0" collapsed="false">
      <c r="B29" s="35" t="str">
        <f aca="false">IF(B17="","",B17)</f>
        <v/>
      </c>
      <c r="C29" s="6" t="str">
        <f aca="false">IF($B29="","","Apoyo (−) – armadura superior")</f>
        <v/>
      </c>
      <c r="D29" s="22" t="str">
        <f aca="false">IF($B29="","",N17)</f>
        <v/>
      </c>
      <c r="E29" s="29"/>
      <c r="F29" s="29"/>
      <c r="G29" s="33" t="str">
        <f aca="false">IF($B29="","",IF(F29="","",E17-Datos!$C$19/10-G17/10-F29/20))</f>
        <v/>
      </c>
      <c r="H29" s="22" t="str">
        <f aca="false">IF($B29="","",IF(OR(G29="",D29=0),0,D29*10^6/(0.9*D17*10*(G29*10)^2)))</f>
        <v/>
      </c>
      <c r="I29" s="22" t="str">
        <f aca="false">IF($B29="","",IF(G29="","",IF(1-2*H29/(0.85*Datos!$C$14)&lt;0,"AUMENTAR sección",0.85*Datos!$C$14/Datos!$C$25*(1-SQRT(1-2*H29/(0.85*Datos!$C$14)))*D17*10*G29*10/100)))</f>
        <v/>
      </c>
      <c r="J29" s="22" t="str">
        <f aca="false">IF($B29="","",IF(G29="","",IF(D29=0,0,MAX(SQRT(Datos!$C$14)/(4*Datos!$C$25),1.4/Datos!$C$25)*D17*10*G29*10/100)))</f>
        <v/>
      </c>
      <c r="K29" s="22" t="str">
        <f aca="false">IF($B29="","",IF(OR(E29="",F29=""),"",E29*PI()*F29^2/400))</f>
        <v/>
      </c>
      <c r="L29" s="30" t="str">
        <f aca="false">IF($B29="","",IF(K29="","",K29*100*Datos!$C$25/(0.85*Datos!$C$14*D17*10)/Datos!$C$16/(G29*10)))</f>
        <v/>
      </c>
      <c r="M29" s="33" t="str">
        <f aca="false">IF($B29="","",IF(K29="","",0.9*K29*100*Datos!$C$25*(G29*10-K29*100*Datos!$C$25/(0.85*Datos!$C$14*D17*10)/2)/10^6))</f>
        <v/>
      </c>
      <c r="N29" s="14" t="str">
        <f aca="false">IF($B29="","",IF(OR(E29="",F29=""),"",IF(E29&lt;2,"",(D17*10-2*Datos!$C$19-2*G17-E29*F29)/(E29-1))))</f>
        <v/>
      </c>
      <c r="O29" s="14" t="str">
        <f aca="false">IF($B29="","",IF(F29="","",MAX(25,F29)))</f>
        <v/>
      </c>
      <c r="P29" s="15" t="str">
        <f aca="false">IF($B29="","",IF(D29=0,"–",IF(NOT(ISNUMBER(I29)),"AUMENTAR sección",IF(K29="","REVISAR",IF(AND(K29&gt;=I29,K29&gt;=J29,M29&gt;=D29,L29&lt;=0.375,OR(N29="",N29&gt;=O29)),"CUMPLE","NO CUMPLE")))))</f>
        <v/>
      </c>
    </row>
    <row r="30" customFormat="false" ht="15" hidden="false" customHeight="false" outlineLevel="0" collapsed="false">
      <c r="B30" s="35" t="str">
        <f aca="false">IF(B17="","",B17)</f>
        <v/>
      </c>
      <c r="C30" s="6" t="str">
        <f aca="false">IF($B30="","","Tramo (+) – armadura inferior")</f>
        <v/>
      </c>
      <c r="D30" s="22" t="str">
        <f aca="false">IF($B30="","",M17)</f>
        <v/>
      </c>
      <c r="E30" s="29"/>
      <c r="F30" s="29"/>
      <c r="G30" s="33" t="str">
        <f aca="false">IF($B30="","",IF(F30="","",E17-Datos!$C$19/10-G17/10-F30/20))</f>
        <v/>
      </c>
      <c r="H30" s="22" t="str">
        <f aca="false">IF($B30="","",IF(OR(G30="",D30=0),0,D30*10^6/(0.9*D17*10*(G30*10)^2)))</f>
        <v/>
      </c>
      <c r="I30" s="22" t="str">
        <f aca="false">IF($B30="","",IF(G30="","",IF(1-2*H30/(0.85*Datos!$C$14)&lt;0,"AUMENTAR sección",0.85*Datos!$C$14/Datos!$C$25*(1-SQRT(1-2*H30/(0.85*Datos!$C$14)))*D17*10*G30*10/100)))</f>
        <v/>
      </c>
      <c r="J30" s="22" t="str">
        <f aca="false">IF($B30="","",IF(G30="","",IF(D30=0,0,MAX(SQRT(Datos!$C$14)/(4*Datos!$C$25),1.4/Datos!$C$25)*D17*10*G30*10/100)))</f>
        <v/>
      </c>
      <c r="K30" s="22" t="str">
        <f aca="false">IF($B30="","",IF(OR(E30="",F30=""),"",E30*PI()*F30^2/400))</f>
        <v/>
      </c>
      <c r="L30" s="30" t="str">
        <f aca="false">IF($B30="","",IF(K30="","",K30*100*Datos!$C$25/(0.85*Datos!$C$14*D17*10)/Datos!$C$16/(G30*10)))</f>
        <v/>
      </c>
      <c r="M30" s="33" t="str">
        <f aca="false">IF($B30="","",IF(K30="","",0.9*K30*100*Datos!$C$25*(G30*10-K30*100*Datos!$C$25/(0.85*Datos!$C$14*D17*10)/2)/10^6))</f>
        <v/>
      </c>
      <c r="N30" s="14" t="str">
        <f aca="false">IF($B30="","",IF(OR(E30="",F30=""),"",IF(E30&lt;2,"",(D17*10-2*Datos!$C$19-2*G17-E30*F30)/(E30-1))))</f>
        <v/>
      </c>
      <c r="O30" s="14" t="str">
        <f aca="false">IF($B30="","",IF(F30="","",MAX(25,F30)))</f>
        <v/>
      </c>
      <c r="P30" s="15" t="str">
        <f aca="false">IF($B30="","",IF(D30=0,"–",IF(NOT(ISNUMBER(I30)),"AUMENTAR sección",IF(K30="","REVISAR",IF(AND(K30&gt;=I30,K30&gt;=J30,M30&gt;=D30,L30&lt;=0.375,OR(N30="",N30&gt;=O30)),"CUMPLE","NO CUMPLE")))))</f>
        <v/>
      </c>
    </row>
    <row r="31" customFormat="false" ht="15" hidden="false" customHeight="false" outlineLevel="0" collapsed="false">
      <c r="B31" s="35" t="str">
        <f aca="false">IF(B18="","",B18)</f>
        <v/>
      </c>
      <c r="C31" s="6" t="str">
        <f aca="false">IF($B31="","","Apoyo (−) – armadura superior")</f>
        <v/>
      </c>
      <c r="D31" s="22" t="str">
        <f aca="false">IF($B31="","",N18)</f>
        <v/>
      </c>
      <c r="E31" s="29"/>
      <c r="F31" s="29"/>
      <c r="G31" s="33" t="str">
        <f aca="false">IF($B31="","",IF(F31="","",E18-Datos!$C$19/10-G18/10-F31/20))</f>
        <v/>
      </c>
      <c r="H31" s="22" t="str">
        <f aca="false">IF($B31="","",IF(OR(G31="",D31=0),0,D31*10^6/(0.9*D18*10*(G31*10)^2)))</f>
        <v/>
      </c>
      <c r="I31" s="22" t="str">
        <f aca="false">IF($B31="","",IF(G31="","",IF(1-2*H31/(0.85*Datos!$C$14)&lt;0,"AUMENTAR sección",0.85*Datos!$C$14/Datos!$C$25*(1-SQRT(1-2*H31/(0.85*Datos!$C$14)))*D18*10*G31*10/100)))</f>
        <v/>
      </c>
      <c r="J31" s="22" t="str">
        <f aca="false">IF($B31="","",IF(G31="","",IF(D31=0,0,MAX(SQRT(Datos!$C$14)/(4*Datos!$C$25),1.4/Datos!$C$25)*D18*10*G31*10/100)))</f>
        <v/>
      </c>
      <c r="K31" s="22" t="str">
        <f aca="false">IF($B31="","",IF(OR(E31="",F31=""),"",E31*PI()*F31^2/400))</f>
        <v/>
      </c>
      <c r="L31" s="30" t="str">
        <f aca="false">IF($B31="","",IF(K31="","",K31*100*Datos!$C$25/(0.85*Datos!$C$14*D18*10)/Datos!$C$16/(G31*10)))</f>
        <v/>
      </c>
      <c r="M31" s="33" t="str">
        <f aca="false">IF($B31="","",IF(K31="","",0.9*K31*100*Datos!$C$25*(G31*10-K31*100*Datos!$C$25/(0.85*Datos!$C$14*D18*10)/2)/10^6))</f>
        <v/>
      </c>
      <c r="N31" s="14" t="str">
        <f aca="false">IF($B31="","",IF(OR(E31="",F31=""),"",IF(E31&lt;2,"",(D18*10-2*Datos!$C$19-2*G18-E31*F31)/(E31-1))))</f>
        <v/>
      </c>
      <c r="O31" s="14" t="str">
        <f aca="false">IF($B31="","",IF(F31="","",MAX(25,F31)))</f>
        <v/>
      </c>
      <c r="P31" s="15" t="str">
        <f aca="false">IF($B31="","",IF(D31=0,"–",IF(NOT(ISNUMBER(I31)),"AUMENTAR sección",IF(K31="","REVISAR",IF(AND(K31&gt;=I31,K31&gt;=J31,M31&gt;=D31,L31&lt;=0.375,OR(N31="",N31&gt;=O31)),"CUMPLE","NO CUMPLE")))))</f>
        <v/>
      </c>
    </row>
    <row r="32" customFormat="false" ht="15" hidden="false" customHeight="false" outlineLevel="0" collapsed="false">
      <c r="B32" s="35" t="str">
        <f aca="false">IF(B18="","",B18)</f>
        <v/>
      </c>
      <c r="C32" s="6" t="str">
        <f aca="false">IF($B32="","","Tramo (+) – armadura inferior")</f>
        <v/>
      </c>
      <c r="D32" s="22" t="str">
        <f aca="false">IF($B32="","",M18)</f>
        <v/>
      </c>
      <c r="E32" s="29"/>
      <c r="F32" s="29"/>
      <c r="G32" s="33" t="str">
        <f aca="false">IF($B32="","",IF(F32="","",E18-Datos!$C$19/10-G18/10-F32/20))</f>
        <v/>
      </c>
      <c r="H32" s="22" t="str">
        <f aca="false">IF($B32="","",IF(OR(G32="",D32=0),0,D32*10^6/(0.9*D18*10*(G32*10)^2)))</f>
        <v/>
      </c>
      <c r="I32" s="22" t="str">
        <f aca="false">IF($B32="","",IF(G32="","",IF(1-2*H32/(0.85*Datos!$C$14)&lt;0,"AUMENTAR sección",0.85*Datos!$C$14/Datos!$C$25*(1-SQRT(1-2*H32/(0.85*Datos!$C$14)))*D18*10*G32*10/100)))</f>
        <v/>
      </c>
      <c r="J32" s="22" t="str">
        <f aca="false">IF($B32="","",IF(G32="","",IF(D32=0,0,MAX(SQRT(Datos!$C$14)/(4*Datos!$C$25),1.4/Datos!$C$25)*D18*10*G32*10/100)))</f>
        <v/>
      </c>
      <c r="K32" s="22" t="str">
        <f aca="false">IF($B32="","",IF(OR(E32="",F32=""),"",E32*PI()*F32^2/400))</f>
        <v/>
      </c>
      <c r="L32" s="30" t="str">
        <f aca="false">IF($B32="","",IF(K32="","",K32*100*Datos!$C$25/(0.85*Datos!$C$14*D18*10)/Datos!$C$16/(G32*10)))</f>
        <v/>
      </c>
      <c r="M32" s="33" t="str">
        <f aca="false">IF($B32="","",IF(K32="","",0.9*K32*100*Datos!$C$25*(G32*10-K32*100*Datos!$C$25/(0.85*Datos!$C$14*D18*10)/2)/10^6))</f>
        <v/>
      </c>
      <c r="N32" s="14" t="str">
        <f aca="false">IF($B32="","",IF(OR(E32="",F32=""),"",IF(E32&lt;2,"",(D18*10-2*Datos!$C$19-2*G18-E32*F32)/(E32-1))))</f>
        <v/>
      </c>
      <c r="O32" s="14" t="str">
        <f aca="false">IF($B32="","",IF(F32="","",MAX(25,F32)))</f>
        <v/>
      </c>
      <c r="P32" s="15" t="str">
        <f aca="false">IF($B32="","",IF(D32=0,"–",IF(NOT(ISNUMBER(I32)),"AUMENTAR sección",IF(K32="","REVISAR",IF(AND(K32&gt;=I32,K32&gt;=J32,M32&gt;=D32,L32&lt;=0.375,OR(N32="",N32&gt;=O32)),"CUMPLE","NO CUMPLE")))))</f>
        <v/>
      </c>
    </row>
    <row r="33" customFormat="false" ht="15" hidden="false" customHeight="false" outlineLevel="0" collapsed="false">
      <c r="B33" s="35" t="str">
        <f aca="false">IF(B19="","",B19)</f>
        <v/>
      </c>
      <c r="C33" s="6" t="str">
        <f aca="false">IF($B33="","","Apoyo (−) – armadura superior")</f>
        <v/>
      </c>
      <c r="D33" s="22" t="str">
        <f aca="false">IF($B33="","",N19)</f>
        <v/>
      </c>
      <c r="E33" s="29"/>
      <c r="F33" s="29"/>
      <c r="G33" s="33" t="str">
        <f aca="false">IF($B33="","",IF(F33="","",E19-Datos!$C$19/10-G19/10-F33/20))</f>
        <v/>
      </c>
      <c r="H33" s="22" t="str">
        <f aca="false">IF($B33="","",IF(OR(G33="",D33=0),0,D33*10^6/(0.9*D19*10*(G33*10)^2)))</f>
        <v/>
      </c>
      <c r="I33" s="22" t="str">
        <f aca="false">IF($B33="","",IF(G33="","",IF(1-2*H33/(0.85*Datos!$C$14)&lt;0,"AUMENTAR sección",0.85*Datos!$C$14/Datos!$C$25*(1-SQRT(1-2*H33/(0.85*Datos!$C$14)))*D19*10*G33*10/100)))</f>
        <v/>
      </c>
      <c r="J33" s="22" t="str">
        <f aca="false">IF($B33="","",IF(G33="","",IF(D33=0,0,MAX(SQRT(Datos!$C$14)/(4*Datos!$C$25),1.4/Datos!$C$25)*D19*10*G33*10/100)))</f>
        <v/>
      </c>
      <c r="K33" s="22" t="str">
        <f aca="false">IF($B33="","",IF(OR(E33="",F33=""),"",E33*PI()*F33^2/400))</f>
        <v/>
      </c>
      <c r="L33" s="30" t="str">
        <f aca="false">IF($B33="","",IF(K33="","",K33*100*Datos!$C$25/(0.85*Datos!$C$14*D19*10)/Datos!$C$16/(G33*10)))</f>
        <v/>
      </c>
      <c r="M33" s="33" t="str">
        <f aca="false">IF($B33="","",IF(K33="","",0.9*K33*100*Datos!$C$25*(G33*10-K33*100*Datos!$C$25/(0.85*Datos!$C$14*D19*10)/2)/10^6))</f>
        <v/>
      </c>
      <c r="N33" s="14" t="str">
        <f aca="false">IF($B33="","",IF(OR(E33="",F33=""),"",IF(E33&lt;2,"",(D19*10-2*Datos!$C$19-2*G19-E33*F33)/(E33-1))))</f>
        <v/>
      </c>
      <c r="O33" s="14" t="str">
        <f aca="false">IF($B33="","",IF(F33="","",MAX(25,F33)))</f>
        <v/>
      </c>
      <c r="P33" s="15" t="str">
        <f aca="false">IF($B33="","",IF(D33=0,"–",IF(NOT(ISNUMBER(I33)),"AUMENTAR sección",IF(K33="","REVISAR",IF(AND(K33&gt;=I33,K33&gt;=J33,M33&gt;=D33,L33&lt;=0.375,OR(N33="",N33&gt;=O33)),"CUMPLE","NO CUMPLE")))))</f>
        <v/>
      </c>
    </row>
    <row r="34" customFormat="false" ht="15" hidden="false" customHeight="false" outlineLevel="0" collapsed="false">
      <c r="B34" s="35" t="str">
        <f aca="false">IF(B19="","",B19)</f>
        <v/>
      </c>
      <c r="C34" s="6" t="str">
        <f aca="false">IF($B34="","","Tramo (+) – armadura inferior")</f>
        <v/>
      </c>
      <c r="D34" s="22" t="str">
        <f aca="false">IF($B34="","",M19)</f>
        <v/>
      </c>
      <c r="E34" s="29"/>
      <c r="F34" s="29"/>
      <c r="G34" s="33" t="str">
        <f aca="false">IF($B34="","",IF(F34="","",E19-Datos!$C$19/10-G19/10-F34/20))</f>
        <v/>
      </c>
      <c r="H34" s="22" t="str">
        <f aca="false">IF($B34="","",IF(OR(G34="",D34=0),0,D34*10^6/(0.9*D19*10*(G34*10)^2)))</f>
        <v/>
      </c>
      <c r="I34" s="22" t="str">
        <f aca="false">IF($B34="","",IF(G34="","",IF(1-2*H34/(0.85*Datos!$C$14)&lt;0,"AUMENTAR sección",0.85*Datos!$C$14/Datos!$C$25*(1-SQRT(1-2*H34/(0.85*Datos!$C$14)))*D19*10*G34*10/100)))</f>
        <v/>
      </c>
      <c r="J34" s="22" t="str">
        <f aca="false">IF($B34="","",IF(G34="","",IF(D34=0,0,MAX(SQRT(Datos!$C$14)/(4*Datos!$C$25),1.4/Datos!$C$25)*D19*10*G34*10/100)))</f>
        <v/>
      </c>
      <c r="K34" s="22" t="str">
        <f aca="false">IF($B34="","",IF(OR(E34="",F34=""),"",E34*PI()*F34^2/400))</f>
        <v/>
      </c>
      <c r="L34" s="30" t="str">
        <f aca="false">IF($B34="","",IF(K34="","",K34*100*Datos!$C$25/(0.85*Datos!$C$14*D19*10)/Datos!$C$16/(G34*10)))</f>
        <v/>
      </c>
      <c r="M34" s="33" t="str">
        <f aca="false">IF($B34="","",IF(K34="","",0.9*K34*100*Datos!$C$25*(G34*10-K34*100*Datos!$C$25/(0.85*Datos!$C$14*D19*10)/2)/10^6))</f>
        <v/>
      </c>
      <c r="N34" s="14" t="str">
        <f aca="false">IF($B34="","",IF(OR(E34="",F34=""),"",IF(E34&lt;2,"",(D19*10-2*Datos!$C$19-2*G19-E34*F34)/(E34-1))))</f>
        <v/>
      </c>
      <c r="O34" s="14" t="str">
        <f aca="false">IF($B34="","",IF(F34="","",MAX(25,F34)))</f>
        <v/>
      </c>
      <c r="P34" s="15" t="str">
        <f aca="false">IF($B34="","",IF(D34=0,"–",IF(NOT(ISNUMBER(I34)),"AUMENTAR sección",IF(K34="","REVISAR",IF(AND(K34&gt;=I34,K34&gt;=J34,M34&gt;=D34,L34&lt;=0.375,OR(N34="",N34&gt;=O34)),"CUMPLE","NO CUMPLE")))))</f>
        <v/>
      </c>
    </row>
    <row r="35" customFormat="false" ht="15" hidden="false" customHeight="false" outlineLevel="0" collapsed="false">
      <c r="B35" s="35" t="str">
        <f aca="false">IF(B20="","",B20)</f>
        <v/>
      </c>
      <c r="C35" s="6" t="str">
        <f aca="false">IF($B35="","","Apoyo (−) – armadura superior")</f>
        <v/>
      </c>
      <c r="D35" s="22" t="str">
        <f aca="false">IF($B35="","",N20)</f>
        <v/>
      </c>
      <c r="E35" s="29"/>
      <c r="F35" s="29"/>
      <c r="G35" s="33" t="str">
        <f aca="false">IF($B35="","",IF(F35="","",E20-Datos!$C$19/10-G20/10-F35/20))</f>
        <v/>
      </c>
      <c r="H35" s="22" t="str">
        <f aca="false">IF($B35="","",IF(OR(G35="",D35=0),0,D35*10^6/(0.9*D20*10*(G35*10)^2)))</f>
        <v/>
      </c>
      <c r="I35" s="22" t="str">
        <f aca="false">IF($B35="","",IF(G35="","",IF(1-2*H35/(0.85*Datos!$C$14)&lt;0,"AUMENTAR sección",0.85*Datos!$C$14/Datos!$C$25*(1-SQRT(1-2*H35/(0.85*Datos!$C$14)))*D20*10*G35*10/100)))</f>
        <v/>
      </c>
      <c r="J35" s="22" t="str">
        <f aca="false">IF($B35="","",IF(G35="","",IF(D35=0,0,MAX(SQRT(Datos!$C$14)/(4*Datos!$C$25),1.4/Datos!$C$25)*D20*10*G35*10/100)))</f>
        <v/>
      </c>
      <c r="K35" s="22" t="str">
        <f aca="false">IF($B35="","",IF(OR(E35="",F35=""),"",E35*PI()*F35^2/400))</f>
        <v/>
      </c>
      <c r="L35" s="30" t="str">
        <f aca="false">IF($B35="","",IF(K35="","",K35*100*Datos!$C$25/(0.85*Datos!$C$14*D20*10)/Datos!$C$16/(G35*10)))</f>
        <v/>
      </c>
      <c r="M35" s="33" t="str">
        <f aca="false">IF($B35="","",IF(K35="","",0.9*K35*100*Datos!$C$25*(G35*10-K35*100*Datos!$C$25/(0.85*Datos!$C$14*D20*10)/2)/10^6))</f>
        <v/>
      </c>
      <c r="N35" s="14" t="str">
        <f aca="false">IF($B35="","",IF(OR(E35="",F35=""),"",IF(E35&lt;2,"",(D20*10-2*Datos!$C$19-2*G20-E35*F35)/(E35-1))))</f>
        <v/>
      </c>
      <c r="O35" s="14" t="str">
        <f aca="false">IF($B35="","",IF(F35="","",MAX(25,F35)))</f>
        <v/>
      </c>
      <c r="P35" s="15" t="str">
        <f aca="false">IF($B35="","",IF(D35=0,"–",IF(NOT(ISNUMBER(I35)),"AUMENTAR sección",IF(K35="","REVISAR",IF(AND(K35&gt;=I35,K35&gt;=J35,M35&gt;=D35,L35&lt;=0.375,OR(N35="",N35&gt;=O35)),"CUMPLE","NO CUMPLE")))))</f>
        <v/>
      </c>
    </row>
    <row r="36" customFormat="false" ht="15" hidden="false" customHeight="false" outlineLevel="0" collapsed="false">
      <c r="B36" s="35" t="str">
        <f aca="false">IF(B20="","",B20)</f>
        <v/>
      </c>
      <c r="C36" s="6" t="str">
        <f aca="false">IF($B36="","","Tramo (+) – armadura inferior")</f>
        <v/>
      </c>
      <c r="D36" s="22" t="str">
        <f aca="false">IF($B36="","",M20)</f>
        <v/>
      </c>
      <c r="E36" s="29"/>
      <c r="F36" s="29"/>
      <c r="G36" s="33" t="str">
        <f aca="false">IF($B36="","",IF(F36="","",E20-Datos!$C$19/10-G20/10-F36/20))</f>
        <v/>
      </c>
      <c r="H36" s="22" t="str">
        <f aca="false">IF($B36="","",IF(OR(G36="",D36=0),0,D36*10^6/(0.9*D20*10*(G36*10)^2)))</f>
        <v/>
      </c>
      <c r="I36" s="22" t="str">
        <f aca="false">IF($B36="","",IF(G36="","",IF(1-2*H36/(0.85*Datos!$C$14)&lt;0,"AUMENTAR sección",0.85*Datos!$C$14/Datos!$C$25*(1-SQRT(1-2*H36/(0.85*Datos!$C$14)))*D20*10*G36*10/100)))</f>
        <v/>
      </c>
      <c r="J36" s="22" t="str">
        <f aca="false">IF($B36="","",IF(G36="","",IF(D36=0,0,MAX(SQRT(Datos!$C$14)/(4*Datos!$C$25),1.4/Datos!$C$25)*D20*10*G36*10/100)))</f>
        <v/>
      </c>
      <c r="K36" s="22" t="str">
        <f aca="false">IF($B36="","",IF(OR(E36="",F36=""),"",E36*PI()*F36^2/400))</f>
        <v/>
      </c>
      <c r="L36" s="30" t="str">
        <f aca="false">IF($B36="","",IF(K36="","",K36*100*Datos!$C$25/(0.85*Datos!$C$14*D20*10)/Datos!$C$16/(G36*10)))</f>
        <v/>
      </c>
      <c r="M36" s="33" t="str">
        <f aca="false">IF($B36="","",IF(K36="","",0.9*K36*100*Datos!$C$25*(G36*10-K36*100*Datos!$C$25/(0.85*Datos!$C$14*D20*10)/2)/10^6))</f>
        <v/>
      </c>
      <c r="N36" s="14" t="str">
        <f aca="false">IF($B36="","",IF(OR(E36="",F36=""),"",IF(E36&lt;2,"",(D20*10-2*Datos!$C$19-2*G20-E36*F36)/(E36-1))))</f>
        <v/>
      </c>
      <c r="O36" s="14" t="str">
        <f aca="false">IF($B36="","",IF(F36="","",MAX(25,F36)))</f>
        <v/>
      </c>
      <c r="P36" s="15" t="str">
        <f aca="false">IF($B36="","",IF(D36=0,"–",IF(NOT(ISNUMBER(I36)),"AUMENTAR sección",IF(K36="","REVISAR",IF(AND(K36&gt;=I36,K36&gt;=J36,M36&gt;=D36,L36&lt;=0.375,OR(N36="",N36&gt;=O36)),"CUMPLE","NO CUMPLE")))))</f>
        <v/>
      </c>
    </row>
    <row r="37" customFormat="false" ht="39.75" hidden="false" customHeight="true" outlineLevel="0" collapsed="false">
      <c r="B37" s="2" t="s">
        <v>350</v>
      </c>
      <c r="C37" s="2"/>
      <c r="D37" s="2"/>
      <c r="E37" s="2"/>
      <c r="F37" s="2"/>
      <c r="G37" s="2"/>
      <c r="H37" s="2"/>
      <c r="I37" s="2"/>
      <c r="J37" s="2"/>
      <c r="K37" s="2"/>
      <c r="L37" s="2"/>
      <c r="M37" s="2"/>
      <c r="N37" s="2"/>
      <c r="O37" s="2"/>
      <c r="P37" s="2"/>
    </row>
    <row r="39" customFormat="false" ht="19.5" hidden="false" customHeight="true" outlineLevel="0" collapsed="false">
      <c r="B39" s="3" t="s">
        <v>351</v>
      </c>
      <c r="C39" s="3"/>
      <c r="D39" s="3"/>
      <c r="E39" s="3"/>
      <c r="F39" s="3"/>
      <c r="G39" s="3"/>
      <c r="H39" s="3"/>
      <c r="I39" s="3"/>
      <c r="J39" s="3"/>
      <c r="K39" s="3"/>
      <c r="L39" s="3"/>
      <c r="M39" s="3"/>
      <c r="N39" s="3"/>
      <c r="O39" s="3"/>
      <c r="P39" s="3"/>
      <c r="Q39" s="3"/>
    </row>
    <row r="40" customFormat="false" ht="57.75" hidden="false" customHeight="true" outlineLevel="0" collapsed="false">
      <c r="B40" s="11" t="s">
        <v>323</v>
      </c>
      <c r="C40" s="11" t="s">
        <v>336</v>
      </c>
      <c r="D40" s="11" t="s">
        <v>264</v>
      </c>
      <c r="E40" s="11" t="s">
        <v>352</v>
      </c>
      <c r="F40" s="11" t="s">
        <v>353</v>
      </c>
      <c r="G40" s="11" t="s">
        <v>354</v>
      </c>
      <c r="H40" s="11" t="s">
        <v>355</v>
      </c>
      <c r="I40" s="11" t="s">
        <v>356</v>
      </c>
      <c r="J40" s="11" t="s">
        <v>357</v>
      </c>
      <c r="K40" s="11" t="s">
        <v>358</v>
      </c>
      <c r="L40" s="11" t="s">
        <v>359</v>
      </c>
      <c r="M40" s="11" t="s">
        <v>274</v>
      </c>
      <c r="N40" s="11" t="s">
        <v>236</v>
      </c>
    </row>
    <row r="41" customFormat="false" ht="15" hidden="false" customHeight="false" outlineLevel="0" collapsed="false">
      <c r="B41" s="35" t="str">
        <f aca="false">IF(B15="","",B15)</f>
        <v>V1</v>
      </c>
      <c r="C41" s="22" t="n">
        <f aca="false">IF($B41="","",O15)</f>
        <v>96.880784</v>
      </c>
      <c r="D41" s="33" t="n">
        <f aca="false">IF($B41="","",G26)</f>
        <v>34.5</v>
      </c>
      <c r="E41" s="22" t="n">
        <f aca="false">IF($B41="","",IF(D41="","",MAX(0,C41-L15*D41/100)))</f>
        <v>80.2726496</v>
      </c>
      <c r="F41" s="22" t="n">
        <f aca="false">IF($B41="","",IF(D41="","",0.75*SQRT(Datos!$C$14)/6*D15*10*D41*10/1000))</f>
        <v>43.125</v>
      </c>
      <c r="G41" s="22" t="n">
        <f aca="false">IF($B41="","",IF(D41="","",MAX(0,E41/0.75-F41/0.75)))</f>
        <v>49.5301994666667</v>
      </c>
      <c r="H41" s="22" t="n">
        <f aca="false">IF($B41="","",IF(D41="","",2/3*SQRT(Datos!$C$14)*D15*10*D41*10/1000))</f>
        <v>230</v>
      </c>
      <c r="I41" s="30" t="n">
        <f aca="false">IF($B41="","",IF(D41="","",IF(E41&gt;F41/2,MAX(G41*1000/(Datos!$C$27*D41*10),MAX(SQRT(Datos!$C$14)/16,0.35)*D15*10/Datos!$C$27),MAX(SQRT(Datos!$C$14)/16,0.35)*D15*10/Datos!$C$27)))</f>
        <v>0.341823322751323</v>
      </c>
      <c r="J41" s="29" t="n">
        <v>2</v>
      </c>
      <c r="K41" s="34" t="n">
        <v>15</v>
      </c>
      <c r="L41" s="30" t="n">
        <f aca="false">IF($B41="","",IF(OR(J41="",K41=""),"",J41*PI()*G15^2/4/(K41*10)))</f>
        <v>0.670206432765823</v>
      </c>
      <c r="M41" s="33" t="n">
        <f aca="false">IF($B41="","",IF(D41="","",IF(G41&lt;=SQRT(Datos!$C$14)/3*D15*10*D41*10/1000,MIN(D41*10/2,600),MIN(D41*10/4,300))/10))</f>
        <v>17.25</v>
      </c>
      <c r="N41" s="15" t="str">
        <f aca="false">IF($B41="","",IF(L41="","REVISAR",IF(G41&gt;H41,"AUMENTAR sección",IF(AND(L41&gt;=I41,K41&lt;=M41),"CUMPLE","NO CUMPLE"))))</f>
        <v>CUMPLE</v>
      </c>
    </row>
    <row r="42" customFormat="false" ht="15" hidden="false" customHeight="false" outlineLevel="0" collapsed="false">
      <c r="B42" s="35" t="str">
        <f aca="false">IF(B16="","",B16)</f>
        <v>V2</v>
      </c>
      <c r="C42" s="22" t="n">
        <f aca="false">IF($B42="","",O16)</f>
        <v>23.703</v>
      </c>
      <c r="D42" s="33" t="n">
        <f aca="false">IF($B42="","",G28)</f>
        <v>34.6</v>
      </c>
      <c r="E42" s="22" t="n">
        <f aca="false">IF($B42="","",IF(D42="","",MAX(0,C42-L16*D42/100)))</f>
        <v>18.235508</v>
      </c>
      <c r="F42" s="22" t="n">
        <f aca="false">IF($B42="","",IF(D42="","",0.75*SQRT(Datos!$C$14)/6*D16*10*D42*10/1000))</f>
        <v>43.25</v>
      </c>
      <c r="G42" s="22" t="n">
        <f aca="false">IF($B42="","",IF(D42="","",MAX(0,E42/0.75-F42/0.75)))</f>
        <v>0</v>
      </c>
      <c r="H42" s="22" t="n">
        <f aca="false">IF($B42="","",IF(D42="","",2/3*SQRT(Datos!$C$14)*D16*10*D42*10/1000))</f>
        <v>230.666666666667</v>
      </c>
      <c r="I42" s="30" t="n">
        <f aca="false">IF($B42="","",IF(D42="","",IF(E42&gt;F42/2,MAX(G42*1000/(Datos!$C$27*D42*10),MAX(SQRT(Datos!$C$14)/16,0.35)*D16*10/Datos!$C$27),MAX(SQRT(Datos!$C$14)/16,0.35)*D16*10/Datos!$C$27)))</f>
        <v>0.166666666666667</v>
      </c>
      <c r="J42" s="29" t="n">
        <v>2</v>
      </c>
      <c r="K42" s="34" t="n">
        <v>15</v>
      </c>
      <c r="L42" s="30" t="n">
        <f aca="false">IF($B42="","",IF(OR(J42="",K42=""),"",J42*PI()*G16^2/4/(K42*10)))</f>
        <v>0.670206432765823</v>
      </c>
      <c r="M42" s="33" t="n">
        <f aca="false">IF($B42="","",IF(D42="","",IF(G42&lt;=SQRT(Datos!$C$14)/3*D16*10*D42*10/1000,MIN(D42*10/2,600),MIN(D42*10/4,300))/10))</f>
        <v>17.3</v>
      </c>
      <c r="N42" s="15" t="str">
        <f aca="false">IF($B42="","",IF(L42="","REVISAR",IF(G42&gt;H42,"AUMENTAR sección",IF(AND(L42&gt;=I42,K42&lt;=M42),"CUMPLE","NO CUMPLE"))))</f>
        <v>CUMPLE</v>
      </c>
    </row>
    <row r="43" customFormat="false" ht="15" hidden="false" customHeight="false" outlineLevel="0" collapsed="false">
      <c r="B43" s="35" t="str">
        <f aca="false">IF(B17="","",B17)</f>
        <v/>
      </c>
      <c r="C43" s="22" t="str">
        <f aca="false">IF($B43="","",O17)</f>
        <v/>
      </c>
      <c r="D43" s="33" t="str">
        <f aca="false">IF($B43="","",G30)</f>
        <v/>
      </c>
      <c r="E43" s="22" t="str">
        <f aca="false">IF($B43="","",IF(D43="","",MAX(0,C43-L17*D43/100)))</f>
        <v/>
      </c>
      <c r="F43" s="22" t="str">
        <f aca="false">IF($B43="","",IF(D43="","",0.75*SQRT(Datos!$C$14)/6*D17*10*D43*10/1000))</f>
        <v/>
      </c>
      <c r="G43" s="22" t="str">
        <f aca="false">IF($B43="","",IF(D43="","",MAX(0,E43/0.75-F43/0.75)))</f>
        <v/>
      </c>
      <c r="H43" s="22" t="str">
        <f aca="false">IF($B43="","",IF(D43="","",2/3*SQRT(Datos!$C$14)*D17*10*D43*10/1000))</f>
        <v/>
      </c>
      <c r="I43" s="30" t="str">
        <f aca="false">IF($B43="","",IF(D43="","",IF(E43&gt;F43/2,MAX(G43*1000/(Datos!$C$27*D43*10),MAX(SQRT(Datos!$C$14)/16,0.35)*D17*10/Datos!$C$27),MAX(SQRT(Datos!$C$14)/16,0.35)*D17*10/Datos!$C$27)))</f>
        <v/>
      </c>
      <c r="J43" s="29"/>
      <c r="K43" s="34"/>
      <c r="L43" s="30" t="str">
        <f aca="false">IF($B43="","",IF(OR(J43="",K43=""),"",J43*PI()*G17^2/4/(K43*10)))</f>
        <v/>
      </c>
      <c r="M43" s="33" t="str">
        <f aca="false">IF($B43="","",IF(D43="","",IF(G43&lt;=SQRT(Datos!$C$14)/3*D17*10*D43*10/1000,MIN(D43*10/2,600),MIN(D43*10/4,300))/10))</f>
        <v/>
      </c>
      <c r="N43" s="15" t="str">
        <f aca="false">IF($B43="","",IF(L43="","REVISAR",IF(G43&gt;H43,"AUMENTAR sección",IF(AND(L43&gt;=I43,K43&lt;=M43),"CUMPLE","NO CUMPLE"))))</f>
        <v/>
      </c>
    </row>
    <row r="44" customFormat="false" ht="15" hidden="false" customHeight="false" outlineLevel="0" collapsed="false">
      <c r="B44" s="35" t="str">
        <f aca="false">IF(B18="","",B18)</f>
        <v/>
      </c>
      <c r="C44" s="22" t="str">
        <f aca="false">IF($B44="","",O18)</f>
        <v/>
      </c>
      <c r="D44" s="33" t="str">
        <f aca="false">IF($B44="","",G32)</f>
        <v/>
      </c>
      <c r="E44" s="22" t="str">
        <f aca="false">IF($B44="","",IF(D44="","",MAX(0,C44-L18*D44/100)))</f>
        <v/>
      </c>
      <c r="F44" s="22" t="str">
        <f aca="false">IF($B44="","",IF(D44="","",0.75*SQRT(Datos!$C$14)/6*D18*10*D44*10/1000))</f>
        <v/>
      </c>
      <c r="G44" s="22" t="str">
        <f aca="false">IF($B44="","",IF(D44="","",MAX(0,E44/0.75-F44/0.75)))</f>
        <v/>
      </c>
      <c r="H44" s="22" t="str">
        <f aca="false">IF($B44="","",IF(D44="","",2/3*SQRT(Datos!$C$14)*D18*10*D44*10/1000))</f>
        <v/>
      </c>
      <c r="I44" s="30" t="str">
        <f aca="false">IF($B44="","",IF(D44="","",IF(E44&gt;F44/2,MAX(G44*1000/(Datos!$C$27*D44*10),MAX(SQRT(Datos!$C$14)/16,0.35)*D18*10/Datos!$C$27),MAX(SQRT(Datos!$C$14)/16,0.35)*D18*10/Datos!$C$27)))</f>
        <v/>
      </c>
      <c r="J44" s="29"/>
      <c r="K44" s="34"/>
      <c r="L44" s="30" t="str">
        <f aca="false">IF($B44="","",IF(OR(J44="",K44=""),"",J44*PI()*G18^2/4/(K44*10)))</f>
        <v/>
      </c>
      <c r="M44" s="33" t="str">
        <f aca="false">IF($B44="","",IF(D44="","",IF(G44&lt;=SQRT(Datos!$C$14)/3*D18*10*D44*10/1000,MIN(D44*10/2,600),MIN(D44*10/4,300))/10))</f>
        <v/>
      </c>
      <c r="N44" s="15" t="str">
        <f aca="false">IF($B44="","",IF(L44="","REVISAR",IF(G44&gt;H44,"AUMENTAR sección",IF(AND(L44&gt;=I44,K44&lt;=M44),"CUMPLE","NO CUMPLE"))))</f>
        <v/>
      </c>
    </row>
    <row r="45" customFormat="false" ht="15" hidden="false" customHeight="false" outlineLevel="0" collapsed="false">
      <c r="B45" s="35" t="str">
        <f aca="false">IF(B19="","",B19)</f>
        <v/>
      </c>
      <c r="C45" s="22" t="str">
        <f aca="false">IF($B45="","",O19)</f>
        <v/>
      </c>
      <c r="D45" s="33" t="str">
        <f aca="false">IF($B45="","",G34)</f>
        <v/>
      </c>
      <c r="E45" s="22" t="str">
        <f aca="false">IF($B45="","",IF(D45="","",MAX(0,C45-L19*D45/100)))</f>
        <v/>
      </c>
      <c r="F45" s="22" t="str">
        <f aca="false">IF($B45="","",IF(D45="","",0.75*SQRT(Datos!$C$14)/6*D19*10*D45*10/1000))</f>
        <v/>
      </c>
      <c r="G45" s="22" t="str">
        <f aca="false">IF($B45="","",IF(D45="","",MAX(0,E45/0.75-F45/0.75)))</f>
        <v/>
      </c>
      <c r="H45" s="22" t="str">
        <f aca="false">IF($B45="","",IF(D45="","",2/3*SQRT(Datos!$C$14)*D19*10*D45*10/1000))</f>
        <v/>
      </c>
      <c r="I45" s="30" t="str">
        <f aca="false">IF($B45="","",IF(D45="","",IF(E45&gt;F45/2,MAX(G45*1000/(Datos!$C$27*D45*10),MAX(SQRT(Datos!$C$14)/16,0.35)*D19*10/Datos!$C$27),MAX(SQRT(Datos!$C$14)/16,0.35)*D19*10/Datos!$C$27)))</f>
        <v/>
      </c>
      <c r="J45" s="29"/>
      <c r="K45" s="34"/>
      <c r="L45" s="30" t="str">
        <f aca="false">IF($B45="","",IF(OR(J45="",K45=""),"",J45*PI()*G19^2/4/(K45*10)))</f>
        <v/>
      </c>
      <c r="M45" s="33" t="str">
        <f aca="false">IF($B45="","",IF(D45="","",IF(G45&lt;=SQRT(Datos!$C$14)/3*D19*10*D45*10/1000,MIN(D45*10/2,600),MIN(D45*10/4,300))/10))</f>
        <v/>
      </c>
      <c r="N45" s="15" t="str">
        <f aca="false">IF($B45="","",IF(L45="","REVISAR",IF(G45&gt;H45,"AUMENTAR sección",IF(AND(L45&gt;=I45,K45&lt;=M45),"CUMPLE","NO CUMPLE"))))</f>
        <v/>
      </c>
    </row>
    <row r="46" customFormat="false" ht="15" hidden="false" customHeight="false" outlineLevel="0" collapsed="false">
      <c r="B46" s="35" t="str">
        <f aca="false">IF(B20="","",B20)</f>
        <v/>
      </c>
      <c r="C46" s="22" t="str">
        <f aca="false">IF($B46="","",O20)</f>
        <v/>
      </c>
      <c r="D46" s="33" t="str">
        <f aca="false">IF($B46="","",G36)</f>
        <v/>
      </c>
      <c r="E46" s="22" t="str">
        <f aca="false">IF($B46="","",IF(D46="","",MAX(0,C46-L20*D46/100)))</f>
        <v/>
      </c>
      <c r="F46" s="22" t="str">
        <f aca="false">IF($B46="","",IF(D46="","",0.75*SQRT(Datos!$C$14)/6*D20*10*D46*10/1000))</f>
        <v/>
      </c>
      <c r="G46" s="22" t="str">
        <f aca="false">IF($B46="","",IF(D46="","",MAX(0,E46/0.75-F46/0.75)))</f>
        <v/>
      </c>
      <c r="H46" s="22" t="str">
        <f aca="false">IF($B46="","",IF(D46="","",2/3*SQRT(Datos!$C$14)*D20*10*D46*10/1000))</f>
        <v/>
      </c>
      <c r="I46" s="30" t="str">
        <f aca="false">IF($B46="","",IF(D46="","",IF(E46&gt;F46/2,MAX(G46*1000/(Datos!$C$27*D46*10),MAX(SQRT(Datos!$C$14)/16,0.35)*D20*10/Datos!$C$27),MAX(SQRT(Datos!$C$14)/16,0.35)*D20*10/Datos!$C$27)))</f>
        <v/>
      </c>
      <c r="J46" s="29"/>
      <c r="K46" s="34"/>
      <c r="L46" s="30" t="str">
        <f aca="false">IF($B46="","",IF(OR(J46="",K46=""),"",J46*PI()*G20^2/4/(K46*10)))</f>
        <v/>
      </c>
      <c r="M46" s="33" t="str">
        <f aca="false">IF($B46="","",IF(D46="","",IF(G46&lt;=SQRT(Datos!$C$14)/3*D20*10*D46*10/1000,MIN(D46*10/2,600),MIN(D46*10/4,300))/10))</f>
        <v/>
      </c>
      <c r="N46" s="15" t="str">
        <f aca="false">IF($B46="","",IF(L46="","REVISAR",IF(G46&gt;H46,"AUMENTAR sección",IF(AND(L46&gt;=I46,K46&lt;=M46),"CUMPLE","NO CUMPLE"))))</f>
        <v/>
      </c>
    </row>
    <row r="47" customFormat="false" ht="39.75" hidden="false" customHeight="true" outlineLevel="0" collapsed="false">
      <c r="B47" s="2" t="s">
        <v>360</v>
      </c>
      <c r="C47" s="2"/>
      <c r="D47" s="2"/>
      <c r="E47" s="2"/>
      <c r="F47" s="2"/>
      <c r="G47" s="2"/>
      <c r="H47" s="2"/>
      <c r="I47" s="2"/>
      <c r="J47" s="2"/>
      <c r="K47" s="2"/>
      <c r="L47" s="2"/>
      <c r="M47" s="2"/>
      <c r="N47" s="2"/>
    </row>
  </sheetData>
  <mergeCells count="9">
    <mergeCell ref="A1:R1"/>
    <mergeCell ref="A2:R2"/>
    <mergeCell ref="B4:I4"/>
    <mergeCell ref="B13:O13"/>
    <mergeCell ref="B21:O21"/>
    <mergeCell ref="B23:R23"/>
    <mergeCell ref="B37:P37"/>
    <mergeCell ref="B39:Q39"/>
    <mergeCell ref="B47:N47"/>
  </mergeCells>
  <conditionalFormatting sqref="I6:I11">
    <cfRule type="expression" priority="2" aboveAverage="0" equalAverage="0" bottom="0" percent="0" rank="0" text="" dxfId="0">
      <formula>ISNUMBER(SEARCH("NO ",I6))</formula>
    </cfRule>
    <cfRule type="expression" priority="3" aboveAverage="0" equalAverage="0" bottom="0" percent="0" rank="0" text="" dxfId="1">
      <formula>OR(ISNUMBER(SEARCH("REVISAR",I6)),ISNUMBER(SEARCH("AUMENTAR",I6)))</formula>
    </cfRule>
    <cfRule type="expression" priority="4" aboveAverage="0" equalAverage="0" bottom="0" percent="0" rank="0" text="" dxfId="2">
      <formula>OR(I6="CUMPLE",I6="OK",I6="VERIFICA")</formula>
    </cfRule>
  </conditionalFormatting>
  <conditionalFormatting sqref="P25:P36">
    <cfRule type="expression" priority="5" aboveAverage="0" equalAverage="0" bottom="0" percent="0" rank="0" text="" dxfId="0">
      <formula>ISNUMBER(SEARCH("NO ",P25))</formula>
    </cfRule>
    <cfRule type="expression" priority="6" aboveAverage="0" equalAverage="0" bottom="0" percent="0" rank="0" text="" dxfId="1">
      <formula>OR(ISNUMBER(SEARCH("REVISAR",P25)),ISNUMBER(SEARCH("AUMENTAR",P25)))</formula>
    </cfRule>
    <cfRule type="expression" priority="7" aboveAverage="0" equalAverage="0" bottom="0" percent="0" rank="0" text="" dxfId="2">
      <formula>OR(P25="CUMPLE",P25="OK",P25="VERIFICA")</formula>
    </cfRule>
  </conditionalFormatting>
  <conditionalFormatting sqref="N41:N46">
    <cfRule type="expression" priority="8" aboveAverage="0" equalAverage="0" bottom="0" percent="0" rank="0" text="" dxfId="0">
      <formula>ISNUMBER(SEARCH("NO ",N41))</formula>
    </cfRule>
    <cfRule type="expression" priority="9" aboveAverage="0" equalAverage="0" bottom="0" percent="0" rank="0" text="" dxfId="1">
      <formula>OR(ISNUMBER(SEARCH("REVISAR",N41)),ISNUMBER(SEARCH("AUMENTAR",N41)))</formula>
    </cfRule>
    <cfRule type="expression" priority="10" aboveAverage="0" equalAverage="0" bottom="0" percent="0" rank="0" text="" dxfId="2">
      <formula>OR(N41="CUMPLE",N41="OK",N41="VERIFICA")</formula>
    </cfRule>
  </conditionalFormatting>
  <dataValidations count="3">
    <dataValidation allowBlank="true" error="Elegí un valor de la lista" errorStyle="stop" errorTitle="Valor no válido" operator="between" showDropDown="false" showErrorMessage="false" showInputMessage="false" sqref="C6:C11" type="list">
      <formula1>Tablas!$L$42:$O$42</formula1>
      <formula2>0</formula2>
    </dataValidation>
    <dataValidation allowBlank="true" error="Elegí un valor de la lista" errorStyle="stop" errorTitle="Valor no válido" operator="between" showDropDown="false" showErrorMessage="false" showInputMessage="false" sqref="C15:C20" type="list">
      <formula1>Tablas!$K$34:$K$38</formula1>
      <formula2>0</formula2>
    </dataValidation>
    <dataValidation allowBlank="true" error="Elegí un valor de la lista" errorStyle="stop" errorTitle="Valor no válido" operator="between" showDropDown="false" showErrorMessage="false" showInputMessage="false" sqref="F25:F36" type="list">
      <formula1>Tablas!$K$5:$K$14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D58F"/>
    <pageSetUpPr fitToPage="true"/>
  </sheetPr>
  <dimension ref="A1:T2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20" min="3" style="0" width="11"/>
  </cols>
  <sheetData>
    <row r="1" customFormat="false" ht="27.75" hidden="false" customHeight="true" outlineLevel="0" collapsed="false">
      <c r="A1" s="1" t="s">
        <v>361</v>
      </c>
      <c r="B1" s="1"/>
      <c r="C1" s="1"/>
      <c r="D1" s="1"/>
      <c r="E1" s="1"/>
      <c r="F1" s="1"/>
      <c r="G1" s="1"/>
      <c r="H1" s="1"/>
      <c r="I1" s="1"/>
      <c r="J1" s="1"/>
      <c r="K1" s="1"/>
      <c r="L1" s="1"/>
      <c r="M1" s="1"/>
      <c r="N1" s="1"/>
      <c r="O1" s="1"/>
      <c r="P1" s="1"/>
      <c r="Q1" s="1"/>
      <c r="R1" s="1"/>
      <c r="S1" s="1"/>
      <c r="T1" s="1"/>
    </row>
    <row r="2" customFormat="false" ht="30" hidden="false" customHeight="true" outlineLevel="0" collapsed="false">
      <c r="A2" s="2" t="s">
        <v>362</v>
      </c>
      <c r="B2" s="2"/>
      <c r="C2" s="2"/>
      <c r="D2" s="2"/>
      <c r="E2" s="2"/>
      <c r="F2" s="2"/>
      <c r="G2" s="2"/>
      <c r="H2" s="2"/>
      <c r="I2" s="2"/>
      <c r="J2" s="2"/>
      <c r="K2" s="2"/>
      <c r="L2" s="2"/>
      <c r="M2" s="2"/>
      <c r="N2" s="2"/>
      <c r="O2" s="2"/>
      <c r="P2" s="2"/>
      <c r="Q2" s="2"/>
      <c r="R2" s="2"/>
      <c r="S2" s="2"/>
      <c r="T2" s="2"/>
    </row>
    <row r="4" customFormat="false" ht="19.5" hidden="false" customHeight="true" outlineLevel="0" collapsed="false">
      <c r="B4" s="3" t="s">
        <v>363</v>
      </c>
      <c r="C4" s="3"/>
      <c r="D4" s="3"/>
      <c r="E4" s="3"/>
      <c r="F4" s="3"/>
      <c r="G4" s="3"/>
      <c r="H4" s="3"/>
      <c r="I4" s="3"/>
      <c r="J4" s="3"/>
      <c r="K4" s="3"/>
      <c r="L4" s="3"/>
      <c r="M4" s="3"/>
      <c r="N4" s="3"/>
      <c r="O4" s="3"/>
    </row>
    <row r="5" customFormat="false" ht="57.75" hidden="false" customHeight="true" outlineLevel="0" collapsed="false">
      <c r="B5" s="11" t="s">
        <v>364</v>
      </c>
      <c r="C5" s="11" t="s">
        <v>365</v>
      </c>
      <c r="D5" s="11" t="s">
        <v>366</v>
      </c>
      <c r="E5" s="11" t="s">
        <v>367</v>
      </c>
      <c r="F5" s="11" t="s">
        <v>368</v>
      </c>
      <c r="G5" s="11" t="s">
        <v>369</v>
      </c>
      <c r="H5" s="11" t="s">
        <v>370</v>
      </c>
      <c r="I5" s="11" t="s">
        <v>371</v>
      </c>
      <c r="J5" s="11" t="s">
        <v>372</v>
      </c>
      <c r="K5" s="11" t="s">
        <v>373</v>
      </c>
      <c r="L5" s="11" t="s">
        <v>341</v>
      </c>
      <c r="M5" s="11" t="s">
        <v>374</v>
      </c>
      <c r="N5" s="11" t="s">
        <v>375</v>
      </c>
      <c r="O5" s="11" t="s">
        <v>376</v>
      </c>
    </row>
    <row r="6" customFormat="false" ht="15" hidden="false" customHeight="false" outlineLevel="0" collapsed="false">
      <c r="B6" s="24" t="s">
        <v>317</v>
      </c>
      <c r="C6" s="29" t="n">
        <v>25</v>
      </c>
      <c r="D6" s="29" t="n">
        <v>25</v>
      </c>
      <c r="E6" s="32" t="n">
        <v>2.7</v>
      </c>
      <c r="F6" s="34" t="n">
        <v>9</v>
      </c>
      <c r="G6" s="34" t="n">
        <v>0</v>
      </c>
      <c r="H6" s="34" t="n">
        <v>60</v>
      </c>
      <c r="I6" s="34" t="n">
        <v>0</v>
      </c>
      <c r="J6" s="33" t="n">
        <f aca="false">IF($B6="","",1.2*Datos!$C$17*C6*D6/10000*E6)</f>
        <v>5.0625</v>
      </c>
      <c r="K6" s="39" t="n">
        <f aca="false">IF($B6="","",Cargas!$I$45*N(F6)+Cargas!$J$45*N(G6)+N(H6)+N(I6)+J6)</f>
        <v>134.9745</v>
      </c>
      <c r="L6" s="34" t="n">
        <v>15</v>
      </c>
      <c r="M6" s="32" t="n">
        <v>1</v>
      </c>
      <c r="N6" s="24" t="s">
        <v>377</v>
      </c>
      <c r="O6" s="32" t="n">
        <v>-0.5</v>
      </c>
    </row>
    <row r="7" customFormat="false" ht="15" hidden="false" customHeight="false" outlineLevel="0" collapsed="false">
      <c r="B7" s="24" t="s">
        <v>378</v>
      </c>
      <c r="C7" s="29" t="n">
        <v>30</v>
      </c>
      <c r="D7" s="29" t="n">
        <v>30</v>
      </c>
      <c r="E7" s="32" t="n">
        <v>2.7</v>
      </c>
      <c r="F7" s="34" t="n">
        <v>4</v>
      </c>
      <c r="G7" s="34" t="n">
        <v>4</v>
      </c>
      <c r="H7" s="34" t="n">
        <v>80</v>
      </c>
      <c r="I7" s="34" t="n">
        <v>0</v>
      </c>
      <c r="J7" s="33" t="n">
        <f aca="false">IF($B7="","",1.2*Datos!$C$17*C7*D7/10000*E7)</f>
        <v>7.29</v>
      </c>
      <c r="K7" s="39" t="n">
        <f aca="false">IF($B7="","",Cargas!$I$45*N(F7)+Cargas!$J$45*N(G7)+N(H7)+N(I7)+J7)</f>
        <v>156.698</v>
      </c>
      <c r="L7" s="34" t="n">
        <v>25</v>
      </c>
      <c r="M7" s="32" t="n">
        <v>1</v>
      </c>
      <c r="N7" s="24" t="s">
        <v>377</v>
      </c>
      <c r="O7" s="32" t="n">
        <v>-0.5</v>
      </c>
    </row>
    <row r="8" customFormat="false" ht="15" hidden="false" customHeight="false" outlineLevel="0" collapsed="false">
      <c r="B8" s="24" t="s">
        <v>379</v>
      </c>
      <c r="C8" s="29" t="n">
        <v>25</v>
      </c>
      <c r="D8" s="29" t="n">
        <v>40</v>
      </c>
      <c r="E8" s="32" t="n">
        <v>2.7</v>
      </c>
      <c r="F8" s="34" t="n">
        <v>6</v>
      </c>
      <c r="G8" s="34" t="n">
        <v>6</v>
      </c>
      <c r="H8" s="34" t="n">
        <v>100</v>
      </c>
      <c r="I8" s="34" t="n">
        <v>0</v>
      </c>
      <c r="J8" s="33" t="n">
        <f aca="false">IF($B8="","",1.2*Datos!$C$17*C8*D8/10000*E8)</f>
        <v>8.1</v>
      </c>
      <c r="K8" s="39" t="n">
        <f aca="false">IF($B8="","",Cargas!$I$45*N(F8)+Cargas!$J$45*N(G8)+N(H8)+N(I8)+J8)</f>
        <v>212.212</v>
      </c>
      <c r="L8" s="34" t="n">
        <v>40</v>
      </c>
      <c r="M8" s="32" t="n">
        <v>1</v>
      </c>
      <c r="N8" s="24" t="s">
        <v>377</v>
      </c>
      <c r="O8" s="32" t="n">
        <v>-0.5</v>
      </c>
    </row>
    <row r="9" customFormat="false" ht="15" hidden="false" customHeight="false" outlineLevel="0" collapsed="false">
      <c r="B9" s="24"/>
      <c r="C9" s="29"/>
      <c r="D9" s="29"/>
      <c r="E9" s="32"/>
      <c r="F9" s="34"/>
      <c r="G9" s="34"/>
      <c r="H9" s="34"/>
      <c r="I9" s="34"/>
      <c r="J9" s="33" t="str">
        <f aca="false">IF($B9="","",1.2*Datos!$C$17*C9*D9/10000*E9)</f>
        <v/>
      </c>
      <c r="K9" s="39" t="str">
        <f aca="false">IF($B9="","",Cargas!$I$45*N(F9)+Cargas!$J$45*N(G9)+N(H9)+N(I9)+J9)</f>
        <v/>
      </c>
      <c r="L9" s="34"/>
      <c r="M9" s="32"/>
      <c r="N9" s="24"/>
      <c r="O9" s="32"/>
    </row>
    <row r="10" customFormat="false" ht="15" hidden="false" customHeight="false" outlineLevel="0" collapsed="false">
      <c r="B10" s="24"/>
      <c r="C10" s="29"/>
      <c r="D10" s="29"/>
      <c r="E10" s="32"/>
      <c r="F10" s="34"/>
      <c r="G10" s="34"/>
      <c r="H10" s="34"/>
      <c r="I10" s="34"/>
      <c r="J10" s="33" t="str">
        <f aca="false">IF($B10="","",1.2*Datos!$C$17*C10*D10/10000*E10)</f>
        <v/>
      </c>
      <c r="K10" s="39" t="str">
        <f aca="false">IF($B10="","",Cargas!$I$45*N(F10)+Cargas!$J$45*N(G10)+N(H10)+N(I10)+J10)</f>
        <v/>
      </c>
      <c r="L10" s="34"/>
      <c r="M10" s="32"/>
      <c r="N10" s="24"/>
      <c r="O10" s="32"/>
    </row>
    <row r="11" customFormat="false" ht="15" hidden="false" customHeight="false" outlineLevel="0" collapsed="false">
      <c r="B11" s="24"/>
      <c r="C11" s="29"/>
      <c r="D11" s="29"/>
      <c r="E11" s="32"/>
      <c r="F11" s="34"/>
      <c r="G11" s="34"/>
      <c r="H11" s="34"/>
      <c r="I11" s="34"/>
      <c r="J11" s="33" t="str">
        <f aca="false">IF($B11="","",1.2*Datos!$C$17*C11*D11/10000*E11)</f>
        <v/>
      </c>
      <c r="K11" s="39" t="str">
        <f aca="false">IF($B11="","",Cargas!$I$45*N(F11)+Cargas!$J$45*N(G11)+N(H11)+N(I11)+J11)</f>
        <v/>
      </c>
      <c r="L11" s="34"/>
      <c r="M11" s="32"/>
      <c r="N11" s="24"/>
      <c r="O11" s="32"/>
    </row>
    <row r="12" customFormat="false" ht="40.5" hidden="false" customHeight="true" outlineLevel="0" collapsed="false">
      <c r="B12" s="2" t="s">
        <v>380</v>
      </c>
      <c r="C12" s="2"/>
      <c r="D12" s="2"/>
      <c r="E12" s="2"/>
      <c r="F12" s="2"/>
      <c r="G12" s="2"/>
      <c r="H12" s="2"/>
      <c r="I12" s="2"/>
      <c r="J12" s="2"/>
      <c r="K12" s="2"/>
      <c r="L12" s="2"/>
      <c r="M12" s="2"/>
    </row>
    <row r="14" customFormat="false" ht="19.5" hidden="false" customHeight="true" outlineLevel="0" collapsed="false">
      <c r="B14" s="3" t="s">
        <v>381</v>
      </c>
      <c r="C14" s="3"/>
      <c r="D14" s="3"/>
      <c r="E14" s="3"/>
      <c r="F14" s="3"/>
      <c r="G14" s="3"/>
      <c r="H14" s="3"/>
      <c r="I14" s="3"/>
      <c r="J14" s="3"/>
      <c r="K14" s="3"/>
      <c r="L14" s="3"/>
      <c r="M14" s="3"/>
      <c r="N14" s="3"/>
      <c r="O14" s="3"/>
      <c r="P14" s="3"/>
      <c r="Q14" s="3"/>
      <c r="R14" s="3"/>
      <c r="S14" s="3"/>
      <c r="T14" s="3"/>
    </row>
    <row r="15" customFormat="false" ht="60" hidden="false" customHeight="true" outlineLevel="0" collapsed="false">
      <c r="B15" s="11" t="s">
        <v>364</v>
      </c>
      <c r="C15" s="11" t="s">
        <v>382</v>
      </c>
      <c r="D15" s="11" t="s">
        <v>383</v>
      </c>
      <c r="E15" s="11" t="s">
        <v>270</v>
      </c>
      <c r="F15" s="11" t="s">
        <v>384</v>
      </c>
      <c r="G15" s="11" t="s">
        <v>385</v>
      </c>
      <c r="H15" s="11" t="s">
        <v>386</v>
      </c>
      <c r="I15" s="11" t="s">
        <v>387</v>
      </c>
      <c r="J15" s="11" t="s">
        <v>388</v>
      </c>
      <c r="K15" s="11" t="s">
        <v>389</v>
      </c>
      <c r="L15" s="11" t="s">
        <v>390</v>
      </c>
      <c r="M15" s="11" t="s">
        <v>391</v>
      </c>
      <c r="N15" s="11" t="s">
        <v>392</v>
      </c>
      <c r="O15" s="11" t="s">
        <v>393</v>
      </c>
      <c r="P15" s="11" t="s">
        <v>394</v>
      </c>
      <c r="Q15" s="11" t="s">
        <v>395</v>
      </c>
      <c r="R15" s="11" t="s">
        <v>396</v>
      </c>
      <c r="S15" s="11" t="s">
        <v>397</v>
      </c>
    </row>
    <row r="16" customFormat="false" ht="15" hidden="false" customHeight="false" outlineLevel="0" collapsed="false">
      <c r="B16" s="35" t="str">
        <f aca="false">IF(B6="","",B6)</f>
        <v>C1</v>
      </c>
      <c r="C16" s="29" t="n">
        <v>4</v>
      </c>
      <c r="D16" s="29" t="n">
        <v>2</v>
      </c>
      <c r="E16" s="29" t="n">
        <v>16</v>
      </c>
      <c r="F16" s="29" t="n">
        <v>6</v>
      </c>
      <c r="G16" s="34" t="n">
        <v>15</v>
      </c>
      <c r="H16" s="22" t="n">
        <f aca="false">IF($B16="","",IF(OR(C16="",E16=""),"",C16*PI()*E16^2/400))</f>
        <v>8.04247719318987</v>
      </c>
      <c r="I16" s="22" t="n">
        <f aca="false">IF($B16="","",IF(H16="","",H16/(C6*D6)*100))</f>
        <v>1.28679635091038</v>
      </c>
      <c r="J16" s="22" t="n">
        <f aca="false">IF($B16="","",IF(E16="","",(Datos!$C$19+F16+E16/2)/10))</f>
        <v>5.4</v>
      </c>
      <c r="K16" s="40" t="n">
        <f aca="false">IF($B16="","",IF(H16="","",Interaccion!$K$8))</f>
        <v>857.385764600792</v>
      </c>
      <c r="L16" s="41" t="n">
        <f aca="false">IF($B16="","",IF(H16="","",Interaccion!$P$32))</f>
        <v>38.1049519990962</v>
      </c>
      <c r="M16" s="22" t="n">
        <f aca="false">IF($B16="","",IF(H16="","",IF(L16&lt;=0,"",L6/L16)))</f>
        <v>0.393649623291896</v>
      </c>
      <c r="N16" s="33" t="n">
        <f aca="false">IF($B16="","",M6*E6*100/(0.3*D6))</f>
        <v>36</v>
      </c>
      <c r="O16" s="15" t="str">
        <f aca="false">IF($B16="","",IF(H16="","REVISAR",IF(AND(C16&gt;=4,I16&gt;=1,I16&lt;=8),"CUMPLE","NO CUMPLE")))</f>
        <v>CUMPLE</v>
      </c>
      <c r="P16" s="15" t="str">
        <f aca="false">IF($B16="","",IF(H16="","REVISAR",IF(AND(K6&lt;=K16,L6&lt;=L16),"CUMPLE","NO CUMPLE")))</f>
        <v>CUMPLE</v>
      </c>
      <c r="Q16" s="15" t="str">
        <f aca="false">IF($B16="","",IF(N16&lt;=IF(N6="SI",MIN(40,34-12*O6),22),"CUMPLE","REVISAR"))</f>
        <v>CUMPLE</v>
      </c>
      <c r="R16" s="33" t="n">
        <f aca="false">IF($B16="","",IF(E16="","",MIN(16*E16,48*F16,MIN(C6,D6)*10)/10))</f>
        <v>25</v>
      </c>
      <c r="S16" s="15" t="str">
        <f aca="false">IF($B16="","",IF(F16="","REVISAR",IF(AND(F16&gt;=IF(E16&lt;=20,6,10),G16&lt;=R16),"CUMPLE","NO CUMPLE")))</f>
        <v>CUMPLE</v>
      </c>
    </row>
    <row r="17" customFormat="false" ht="15" hidden="false" customHeight="false" outlineLevel="0" collapsed="false">
      <c r="B17" s="35" t="str">
        <f aca="false">IF(B7="","",B7)</f>
        <v>C2</v>
      </c>
      <c r="C17" s="29" t="n">
        <v>6</v>
      </c>
      <c r="D17" s="29" t="n">
        <v>2</v>
      </c>
      <c r="E17" s="29" t="n">
        <v>16</v>
      </c>
      <c r="F17" s="29" t="n">
        <v>6</v>
      </c>
      <c r="G17" s="34" t="n">
        <v>20</v>
      </c>
      <c r="H17" s="22" t="n">
        <f aca="false">IF($B17="","",IF(OR(C17="",E17=""),"",C17*PI()*E17^2/400))</f>
        <v>12.0637157897848</v>
      </c>
      <c r="I17" s="22" t="n">
        <f aca="false">IF($B17="","",IF(H17="","",H17/(C7*D7)*100))</f>
        <v>1.34041286553165</v>
      </c>
      <c r="J17" s="22" t="n">
        <f aca="false">IF($B17="","",IF(E17="","",(Datos!$C$19+F17+E17/2)/10))</f>
        <v>5.4</v>
      </c>
      <c r="K17" s="40" t="n">
        <f aca="false">IF($B17="","",IF(H17="","",Interaccion!$K$38))</f>
        <v>1244.64114690119</v>
      </c>
      <c r="L17" s="41" t="n">
        <f aca="false">IF($B17="","",IF(H17="","",Interaccion!$P$62))</f>
        <v>66.1758421910577</v>
      </c>
      <c r="M17" s="22" t="n">
        <f aca="false">IF($B17="","",IF(H17="","",IF(L17&lt;=0,"",L7/L17)))</f>
        <v>0.377781365106347</v>
      </c>
      <c r="N17" s="33" t="n">
        <f aca="false">IF($B17="","",M7*E7*100/(0.3*D7))</f>
        <v>30</v>
      </c>
      <c r="O17" s="15" t="str">
        <f aca="false">IF($B17="","",IF(H17="","REVISAR",IF(AND(C17&gt;=4,I17&gt;=1,I17&lt;=8),"CUMPLE","NO CUMPLE")))</f>
        <v>CUMPLE</v>
      </c>
      <c r="P17" s="15" t="str">
        <f aca="false">IF($B17="","",IF(H17="","REVISAR",IF(AND(K7&lt;=K17,L7&lt;=L17),"CUMPLE","NO CUMPLE")))</f>
        <v>CUMPLE</v>
      </c>
      <c r="Q17" s="15" t="str">
        <f aca="false">IF($B17="","",IF(N17&lt;=IF(N7="SI",MIN(40,34-12*O7),22),"CUMPLE","REVISAR"))</f>
        <v>CUMPLE</v>
      </c>
      <c r="R17" s="33" t="n">
        <f aca="false">IF($B17="","",IF(E17="","",MIN(16*E17,48*F17,MIN(C7,D7)*10)/10))</f>
        <v>25.6</v>
      </c>
      <c r="S17" s="15" t="str">
        <f aca="false">IF($B17="","",IF(F17="","REVISAR",IF(AND(F17&gt;=IF(E17&lt;=20,6,10),G17&lt;=R17),"CUMPLE","NO CUMPLE")))</f>
        <v>CUMPLE</v>
      </c>
    </row>
    <row r="18" customFormat="false" ht="15" hidden="false" customHeight="false" outlineLevel="0" collapsed="false">
      <c r="B18" s="35" t="str">
        <f aca="false">IF(B8="","",B8)</f>
        <v>C3</v>
      </c>
      <c r="C18" s="29" t="n">
        <v>6</v>
      </c>
      <c r="D18" s="29" t="n">
        <v>3</v>
      </c>
      <c r="E18" s="29" t="n">
        <v>16</v>
      </c>
      <c r="F18" s="29" t="n">
        <v>8</v>
      </c>
      <c r="G18" s="34" t="n">
        <v>20</v>
      </c>
      <c r="H18" s="22" t="n">
        <f aca="false">IF($B18="","",IF(OR(C18="",E18=""),"",C18*PI()*E18^2/400))</f>
        <v>12.0637157897848</v>
      </c>
      <c r="I18" s="22" t="n">
        <f aca="false">IF($B18="","",IF(H18="","",H18/(C8*D8)*100))</f>
        <v>1.20637157897848</v>
      </c>
      <c r="J18" s="22" t="n">
        <f aca="false">IF($B18="","",IF(E18="","",(Datos!$C$19+F18+E18/2)/10))</f>
        <v>5.6</v>
      </c>
      <c r="K18" s="40" t="n">
        <f aca="false">IF($B18="","",IF(H18="","",Interaccion!$K$68))</f>
        <v>1355.14114690119</v>
      </c>
      <c r="L18" s="41" t="n">
        <f aca="false">IF($B18="","",IF(H18="","",Interaccion!$P$92))</f>
        <v>102.996824383175</v>
      </c>
      <c r="M18" s="22" t="n">
        <f aca="false">IF($B18="","",IF(H18="","",IF(L18&lt;=0,"",L8/L18)))</f>
        <v>0.388361488225981</v>
      </c>
      <c r="N18" s="33" t="n">
        <f aca="false">IF($B18="","",M8*E8*100/(0.3*D8))</f>
        <v>22.5</v>
      </c>
      <c r="O18" s="15" t="str">
        <f aca="false">IF($B18="","",IF(H18="","REVISAR",IF(AND(C18&gt;=4,I18&gt;=1,I18&lt;=8),"CUMPLE","NO CUMPLE")))</f>
        <v>CUMPLE</v>
      </c>
      <c r="P18" s="15" t="str">
        <f aca="false">IF($B18="","",IF(H18="","REVISAR",IF(AND(K8&lt;=K18,L8&lt;=L18),"CUMPLE","NO CUMPLE")))</f>
        <v>CUMPLE</v>
      </c>
      <c r="Q18" s="15" t="str">
        <f aca="false">IF($B18="","",IF(N18&lt;=IF(N8="SI",MIN(40,34-12*O8),22),"CUMPLE","REVISAR"))</f>
        <v>CUMPLE</v>
      </c>
      <c r="R18" s="33" t="n">
        <f aca="false">IF($B18="","",IF(E18="","",MIN(16*E18,48*F18,MIN(C8,D8)*10)/10))</f>
        <v>25</v>
      </c>
      <c r="S18" s="15" t="str">
        <f aca="false">IF($B18="","",IF(F18="","REVISAR",IF(AND(F18&gt;=IF(E18&lt;=20,6,10),G18&lt;=R18),"CUMPLE","NO CUMPLE")))</f>
        <v>CUMPLE</v>
      </c>
    </row>
    <row r="19" customFormat="false" ht="15" hidden="false" customHeight="false" outlineLevel="0" collapsed="false">
      <c r="B19" s="35" t="str">
        <f aca="false">IF(B9="","",B9)</f>
        <v/>
      </c>
      <c r="C19" s="29"/>
      <c r="D19" s="29"/>
      <c r="E19" s="29"/>
      <c r="F19" s="29"/>
      <c r="G19" s="34"/>
      <c r="H19" s="22" t="str">
        <f aca="false">IF($B19="","",IF(OR(C19="",E19=""),"",C19*PI()*E19^2/400))</f>
        <v/>
      </c>
      <c r="I19" s="22" t="str">
        <f aca="false">IF($B19="","",IF(H19="","",H19/(C9*D9)*100))</f>
        <v/>
      </c>
      <c r="J19" s="22" t="str">
        <f aca="false">IF($B19="","",IF(E19="","",(Datos!$C$19+F19+E19/2)/10))</f>
        <v/>
      </c>
      <c r="K19" s="40" t="str">
        <f aca="false">IF($B19="","",IF(H19="","",Interaccion!$K$98))</f>
        <v/>
      </c>
      <c r="L19" s="41" t="str">
        <f aca="false">IF($B19="","",IF(H19="","",Interaccion!$P$122))</f>
        <v/>
      </c>
      <c r="M19" s="22" t="str">
        <f aca="false">IF($B19="","",IF(H19="","",IF(L19&lt;=0,"",L9/L19)))</f>
        <v/>
      </c>
      <c r="N19" s="33" t="str">
        <f aca="false">IF($B19="","",M9*E9*100/(0.3*D9))</f>
        <v/>
      </c>
      <c r="O19" s="15" t="str">
        <f aca="false">IF($B19="","",IF(H19="","REVISAR",IF(AND(C19&gt;=4,I19&gt;=1,I19&lt;=8),"CUMPLE","NO CUMPLE")))</f>
        <v/>
      </c>
      <c r="P19" s="15" t="str">
        <f aca="false">IF($B19="","",IF(H19="","REVISAR",IF(AND(K9&lt;=K19,L9&lt;=L19),"CUMPLE","NO CUMPLE")))</f>
        <v/>
      </c>
      <c r="Q19" s="15" t="str">
        <f aca="false">IF($B19="","",IF(N19&lt;=IF(N9="SI",MIN(40,34-12*O9),22),"CUMPLE","REVISAR"))</f>
        <v/>
      </c>
      <c r="R19" s="33" t="str">
        <f aca="false">IF($B19="","",IF(E19="","",MIN(16*E19,48*F19,MIN(C9,D9)*10)/10))</f>
        <v/>
      </c>
      <c r="S19" s="15" t="str">
        <f aca="false">IF($B19="","",IF(F19="","REVISAR",IF(AND(F19&gt;=IF(E19&lt;=20,6,10),G19&lt;=R19),"CUMPLE","NO CUMPLE")))</f>
        <v/>
      </c>
    </row>
    <row r="20" customFormat="false" ht="15" hidden="false" customHeight="false" outlineLevel="0" collapsed="false">
      <c r="B20" s="35" t="str">
        <f aca="false">IF(B10="","",B10)</f>
        <v/>
      </c>
      <c r="C20" s="29"/>
      <c r="D20" s="29"/>
      <c r="E20" s="29"/>
      <c r="F20" s="29"/>
      <c r="G20" s="34"/>
      <c r="H20" s="22" t="str">
        <f aca="false">IF($B20="","",IF(OR(C20="",E20=""),"",C20*PI()*E20^2/400))</f>
        <v/>
      </c>
      <c r="I20" s="22" t="str">
        <f aca="false">IF($B20="","",IF(H20="","",H20/(C10*D10)*100))</f>
        <v/>
      </c>
      <c r="J20" s="22" t="str">
        <f aca="false">IF($B20="","",IF(E20="","",(Datos!$C$19+F20+E20/2)/10))</f>
        <v/>
      </c>
      <c r="K20" s="40" t="str">
        <f aca="false">IF($B20="","",IF(H20="","",Interaccion!$K$128))</f>
        <v/>
      </c>
      <c r="L20" s="41" t="str">
        <f aca="false">IF($B20="","",IF(H20="","",Interaccion!$P$152))</f>
        <v/>
      </c>
      <c r="M20" s="22" t="str">
        <f aca="false">IF($B20="","",IF(H20="","",IF(L20&lt;=0,"",L10/L20)))</f>
        <v/>
      </c>
      <c r="N20" s="33" t="str">
        <f aca="false">IF($B20="","",M10*E10*100/(0.3*D10))</f>
        <v/>
      </c>
      <c r="O20" s="15" t="str">
        <f aca="false">IF($B20="","",IF(H20="","REVISAR",IF(AND(C20&gt;=4,I20&gt;=1,I20&lt;=8),"CUMPLE","NO CUMPLE")))</f>
        <v/>
      </c>
      <c r="P20" s="15" t="str">
        <f aca="false">IF($B20="","",IF(H20="","REVISAR",IF(AND(K10&lt;=K20,L10&lt;=L20),"CUMPLE","NO CUMPLE")))</f>
        <v/>
      </c>
      <c r="Q20" s="15" t="str">
        <f aca="false">IF($B20="","",IF(N20&lt;=IF(N10="SI",MIN(40,34-12*O10),22),"CUMPLE","REVISAR"))</f>
        <v/>
      </c>
      <c r="R20" s="33" t="str">
        <f aca="false">IF($B20="","",IF(E20="","",MIN(16*E20,48*F20,MIN(C10,D10)*10)/10))</f>
        <v/>
      </c>
      <c r="S20" s="15" t="str">
        <f aca="false">IF($B20="","",IF(F20="","REVISAR",IF(AND(F20&gt;=IF(E20&lt;=20,6,10),G20&lt;=R20),"CUMPLE","NO CUMPLE")))</f>
        <v/>
      </c>
    </row>
    <row r="21" customFormat="false" ht="15" hidden="false" customHeight="false" outlineLevel="0" collapsed="false">
      <c r="B21" s="35" t="str">
        <f aca="false">IF(B11="","",B11)</f>
        <v/>
      </c>
      <c r="C21" s="29"/>
      <c r="D21" s="29"/>
      <c r="E21" s="29"/>
      <c r="F21" s="29"/>
      <c r="G21" s="34"/>
      <c r="H21" s="22" t="str">
        <f aca="false">IF($B21="","",IF(OR(C21="",E21=""),"",C21*PI()*E21^2/400))</f>
        <v/>
      </c>
      <c r="I21" s="22" t="str">
        <f aca="false">IF($B21="","",IF(H21="","",H21/(C11*D11)*100))</f>
        <v/>
      </c>
      <c r="J21" s="22" t="str">
        <f aca="false">IF($B21="","",IF(E21="","",(Datos!$C$19+F21+E21/2)/10))</f>
        <v/>
      </c>
      <c r="K21" s="40" t="str">
        <f aca="false">IF($B21="","",IF(H21="","",Interaccion!$K$158))</f>
        <v/>
      </c>
      <c r="L21" s="41" t="str">
        <f aca="false">IF($B21="","",IF(H21="","",Interaccion!$P$182))</f>
        <v/>
      </c>
      <c r="M21" s="22" t="str">
        <f aca="false">IF($B21="","",IF(H21="","",IF(L21&lt;=0,"",L11/L21)))</f>
        <v/>
      </c>
      <c r="N21" s="33" t="str">
        <f aca="false">IF($B21="","",M11*E11*100/(0.3*D11))</f>
        <v/>
      </c>
      <c r="O21" s="15" t="str">
        <f aca="false">IF($B21="","",IF(H21="","REVISAR",IF(AND(C21&gt;=4,I21&gt;=1,I21&lt;=8),"CUMPLE","NO CUMPLE")))</f>
        <v/>
      </c>
      <c r="P21" s="15" t="str">
        <f aca="false">IF($B21="","",IF(H21="","REVISAR",IF(AND(K11&lt;=K21,L11&lt;=L21),"CUMPLE","NO CUMPLE")))</f>
        <v/>
      </c>
      <c r="Q21" s="15" t="str">
        <f aca="false">IF($B21="","",IF(N21&lt;=IF(N11="SI",MIN(40,34-12*O11),22),"CUMPLE","REVISAR"))</f>
        <v/>
      </c>
      <c r="R21" s="33" t="str">
        <f aca="false">IF($B21="","",IF(E21="","",MIN(16*E21,48*F21,MIN(C11,D11)*10)/10))</f>
        <v/>
      </c>
      <c r="S21" s="15" t="str">
        <f aca="false">IF($B21="","",IF(F21="","REVISAR",IF(AND(F21&gt;=IF(E21&lt;=20,6,10),G21&lt;=R21),"CUMPLE","NO CUMPLE")))</f>
        <v/>
      </c>
    </row>
    <row r="22" customFormat="false" ht="51.75" hidden="false" customHeight="true" outlineLevel="0" collapsed="false">
      <c r="B22" s="2" t="s">
        <v>398</v>
      </c>
      <c r="C22" s="2"/>
      <c r="D22" s="2"/>
      <c r="E22" s="2"/>
      <c r="F22" s="2"/>
      <c r="G22" s="2"/>
      <c r="H22" s="2"/>
      <c r="I22" s="2"/>
      <c r="J22" s="2"/>
      <c r="K22" s="2"/>
      <c r="L22" s="2"/>
      <c r="M22" s="2"/>
      <c r="N22" s="2"/>
      <c r="O22" s="2"/>
      <c r="P22" s="2"/>
      <c r="Q22" s="2"/>
      <c r="R22" s="2"/>
      <c r="S22" s="2"/>
    </row>
  </sheetData>
  <mergeCells count="6">
    <mergeCell ref="A1:T1"/>
    <mergeCell ref="A2:T2"/>
    <mergeCell ref="B4:O4"/>
    <mergeCell ref="B12:M12"/>
    <mergeCell ref="B14:T14"/>
    <mergeCell ref="B22:S22"/>
  </mergeCells>
  <conditionalFormatting sqref="O16:O21">
    <cfRule type="expression" priority="2" aboveAverage="0" equalAverage="0" bottom="0" percent="0" rank="0" text="" dxfId="0">
      <formula>ISNUMBER(SEARCH("NO ",O16))</formula>
    </cfRule>
    <cfRule type="expression" priority="3" aboveAverage="0" equalAverage="0" bottom="0" percent="0" rank="0" text="" dxfId="1">
      <formula>OR(ISNUMBER(SEARCH("REVISAR",O16)),ISNUMBER(SEARCH("AUMENTAR",O16)))</formula>
    </cfRule>
    <cfRule type="expression" priority="4" aboveAverage="0" equalAverage="0" bottom="0" percent="0" rank="0" text="" dxfId="2">
      <formula>OR(O16="CUMPLE",O16="OK",O16="VERIFICA")</formula>
    </cfRule>
  </conditionalFormatting>
  <conditionalFormatting sqref="P16:P21">
    <cfRule type="expression" priority="5" aboveAverage="0" equalAverage="0" bottom="0" percent="0" rank="0" text="" dxfId="0">
      <formula>ISNUMBER(SEARCH("NO ",P16))</formula>
    </cfRule>
    <cfRule type="expression" priority="6" aboveAverage="0" equalAverage="0" bottom="0" percent="0" rank="0" text="" dxfId="1">
      <formula>OR(ISNUMBER(SEARCH("REVISAR",P16)),ISNUMBER(SEARCH("AUMENTAR",P16)))</formula>
    </cfRule>
    <cfRule type="expression" priority="7" aboveAverage="0" equalAverage="0" bottom="0" percent="0" rank="0" text="" dxfId="2">
      <formula>OR(P16="CUMPLE",P16="OK",P16="VERIFICA")</formula>
    </cfRule>
  </conditionalFormatting>
  <conditionalFormatting sqref="Q16:Q21">
    <cfRule type="expression" priority="8" aboveAverage="0" equalAverage="0" bottom="0" percent="0" rank="0" text="" dxfId="0">
      <formula>ISNUMBER(SEARCH("NO ",Q16))</formula>
    </cfRule>
    <cfRule type="expression" priority="9" aboveAverage="0" equalAverage="0" bottom="0" percent="0" rank="0" text="" dxfId="1">
      <formula>OR(ISNUMBER(SEARCH("REVISAR",Q16)),ISNUMBER(SEARCH("AUMENTAR",Q16)))</formula>
    </cfRule>
    <cfRule type="expression" priority="10" aboveAverage="0" equalAverage="0" bottom="0" percent="0" rank="0" text="" dxfId="2">
      <formula>OR(Q16="CUMPLE",Q16="OK",Q16="VERIFICA")</formula>
    </cfRule>
  </conditionalFormatting>
  <conditionalFormatting sqref="S16:S21">
    <cfRule type="expression" priority="11" aboveAverage="0" equalAverage="0" bottom="0" percent="0" rank="0" text="" dxfId="0">
      <formula>ISNUMBER(SEARCH("NO ",S16))</formula>
    </cfRule>
    <cfRule type="expression" priority="12" aboveAverage="0" equalAverage="0" bottom="0" percent="0" rank="0" text="" dxfId="1">
      <formula>OR(ISNUMBER(SEARCH("REVISAR",S16)),ISNUMBER(SEARCH("AUMENTAR",S16)))</formula>
    </cfRule>
    <cfRule type="expression" priority="13" aboveAverage="0" equalAverage="0" bottom="0" percent="0" rank="0" text="" dxfId="2">
      <formula>OR(S16="CUMPLE",S16="OK",S16="VERIFICA")</formula>
    </cfRule>
  </conditionalFormatting>
  <dataValidations count="1">
    <dataValidation allowBlank="true" error="Elegí un valor de la lista" errorStyle="stop" errorTitle="Valor no válido" operator="between" showDropDown="false" showErrorMessage="false" showInputMessage="false" sqref="N6:N11" type="list">
      <formula1>"SI,NO"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Q18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6" min="2" style="0" width="12"/>
    <col collapsed="false" customWidth="true" hidden="false" outlineLevel="0" max="17" min="17" style="0" width="13"/>
  </cols>
  <sheetData>
    <row r="1" customFormat="false" ht="27.75" hidden="false" customHeight="true" outlineLevel="0" collapsed="false">
      <c r="A1" s="1" t="s">
        <v>399</v>
      </c>
      <c r="B1" s="1"/>
      <c r="C1" s="1"/>
      <c r="D1" s="1"/>
      <c r="E1" s="1"/>
      <c r="F1" s="1"/>
      <c r="G1" s="1"/>
      <c r="H1" s="1"/>
      <c r="I1" s="1"/>
      <c r="J1" s="1"/>
      <c r="K1" s="1"/>
      <c r="L1" s="1"/>
      <c r="M1" s="1"/>
      <c r="N1" s="1"/>
      <c r="O1" s="1"/>
      <c r="P1" s="1"/>
      <c r="Q1" s="1"/>
    </row>
    <row r="2" customFormat="false" ht="30" hidden="false" customHeight="true" outlineLevel="0" collapsed="false">
      <c r="A2" s="2" t="s">
        <v>400</v>
      </c>
      <c r="B2" s="2"/>
      <c r="C2" s="2"/>
      <c r="D2" s="2"/>
      <c r="E2" s="2"/>
      <c r="F2" s="2"/>
      <c r="G2" s="2"/>
      <c r="H2" s="2"/>
      <c r="I2" s="2"/>
      <c r="J2" s="2"/>
      <c r="K2" s="2"/>
      <c r="L2" s="2"/>
      <c r="M2" s="2"/>
      <c r="N2" s="2"/>
      <c r="O2" s="2"/>
      <c r="P2" s="2"/>
      <c r="Q2" s="2"/>
    </row>
    <row r="6" customFormat="false" ht="15" hidden="false" customHeight="false" outlineLevel="0" collapsed="false">
      <c r="B6" s="42" t="str">
        <f aca="false">IF(Columnas!B6="","(columna sin cargar)","Columna "&amp;Columnas!B6&amp;"  –  "&amp;Columnas!C6&amp;" × "&amp;Columnas!D6&amp;" cm")</f>
        <v>Columna C1  –  25 × 25 cm</v>
      </c>
      <c r="C6" s="42"/>
      <c r="D6" s="42"/>
      <c r="E6" s="42"/>
      <c r="F6" s="42"/>
      <c r="G6" s="42"/>
      <c r="H6" s="42"/>
      <c r="I6" s="42"/>
      <c r="J6" s="42"/>
      <c r="K6" s="42"/>
      <c r="L6" s="42"/>
      <c r="M6" s="42"/>
      <c r="N6" s="42"/>
      <c r="O6" s="42"/>
      <c r="P6" s="42"/>
    </row>
    <row r="7" customFormat="false" ht="27.75" hidden="false" customHeight="true" outlineLevel="0" collapsed="false">
      <c r="B7" s="11" t="s">
        <v>401</v>
      </c>
      <c r="C7" s="11" t="s">
        <v>402</v>
      </c>
      <c r="D7" s="11" t="s">
        <v>403</v>
      </c>
      <c r="E7" s="11" t="s">
        <v>404</v>
      </c>
      <c r="F7" s="11" t="s">
        <v>405</v>
      </c>
      <c r="G7" s="11" t="s">
        <v>406</v>
      </c>
      <c r="H7" s="11" t="s">
        <v>407</v>
      </c>
      <c r="I7" s="11" t="s">
        <v>408</v>
      </c>
      <c r="J7" s="11" t="s">
        <v>389</v>
      </c>
      <c r="K7" s="43" t="s">
        <v>409</v>
      </c>
    </row>
    <row r="8" customFormat="false" ht="15" hidden="false" customHeight="false" outlineLevel="0" collapsed="false">
      <c r="B8" s="33" t="n">
        <f aca="false">IF(Columnas!$H$16="",0,Columnas!$C$6*10)</f>
        <v>250</v>
      </c>
      <c r="C8" s="33" t="n">
        <f aca="false">IF(Columnas!$H$16="",0,Columnas!$D$6*10)</f>
        <v>250</v>
      </c>
      <c r="D8" s="33" t="n">
        <f aca="false">IF(Columnas!$H$16="",0,Columnas!$J$16*10)</f>
        <v>54</v>
      </c>
      <c r="E8" s="33" t="n">
        <f aca="false">C8-D8</f>
        <v>196</v>
      </c>
      <c r="F8" s="33" t="n">
        <f aca="false">IF(Columnas!$H$16="",0,Columnas!$D$16*(PI()*Columnas!$E$16^2/4))</f>
        <v>402.123859659494</v>
      </c>
      <c r="G8" s="33" t="n">
        <f aca="false">F8</f>
        <v>402.123859659494</v>
      </c>
      <c r="H8" s="33" t="n">
        <f aca="false">IF(Columnas!$H$16="",0,(Columnas!$C$16-2*Columnas!$D$16)*(PI()*Columnas!$E$16^2/4))</f>
        <v>0</v>
      </c>
      <c r="I8" s="33" t="n">
        <f aca="false">(0.85*Datos!$C$14*(B8*C8-(F8+G8+H8))+Datos!$C$25*(F8+G8+H8))/1000</f>
        <v>1648.81877807845</v>
      </c>
      <c r="J8" s="33" t="n">
        <f aca="false">0.8*0.65*I8</f>
        <v>857.385764600792</v>
      </c>
      <c r="K8" s="33" t="n">
        <f aca="false">J8</f>
        <v>857.385764600792</v>
      </c>
    </row>
    <row r="9" customFormat="false" ht="27.75" hidden="false" customHeight="true" outlineLevel="0" collapsed="false">
      <c r="B9" s="11" t="s">
        <v>410</v>
      </c>
      <c r="C9" s="11" t="s">
        <v>411</v>
      </c>
      <c r="D9" s="11" t="s">
        <v>412</v>
      </c>
      <c r="E9" s="11" t="s">
        <v>413</v>
      </c>
      <c r="F9" s="11" t="s">
        <v>414</v>
      </c>
      <c r="G9" s="11" t="s">
        <v>415</v>
      </c>
      <c r="H9" s="11" t="s">
        <v>416</v>
      </c>
      <c r="I9" s="11" t="s">
        <v>417</v>
      </c>
      <c r="J9" s="11" t="s">
        <v>418</v>
      </c>
      <c r="K9" s="11" t="s">
        <v>419</v>
      </c>
      <c r="L9" s="11" t="s">
        <v>420</v>
      </c>
      <c r="M9" s="11" t="s">
        <v>421</v>
      </c>
      <c r="N9" s="11" t="s">
        <v>422</v>
      </c>
      <c r="O9" s="11" t="s">
        <v>423</v>
      </c>
      <c r="P9" s="11" t="s">
        <v>347</v>
      </c>
    </row>
    <row r="10" customFormat="false" ht="15" hidden="false" customHeight="false" outlineLevel="0" collapsed="false">
      <c r="B10" s="22" t="n">
        <v>100</v>
      </c>
      <c r="C10" s="14" t="n">
        <f aca="false">B10*$C$8</f>
        <v>25000</v>
      </c>
      <c r="D10" s="14" t="n">
        <f aca="false">MIN(Datos!$C$16*C10,$C$8)</f>
        <v>250</v>
      </c>
      <c r="E10" s="44" t="n">
        <f aca="false">IF(C10=0,0,0.003*(C10-$D$8)/C10)</f>
        <v>0.00299352</v>
      </c>
      <c r="F10" s="44" t="n">
        <f aca="false">IF(C10=0,0,0.003*(C10-$C$8/2)/C10)</f>
        <v>0.002985</v>
      </c>
      <c r="G10" s="44" t="n">
        <f aca="false">IF(C10=0,0,0.003*(C10-$E$8)/C10)</f>
        <v>0.00297648</v>
      </c>
      <c r="H10" s="14" t="n">
        <f aca="false">MAX(-Datos!$C$25,MIN(Datos!$C$25,Datos!$C$28*E10))</f>
        <v>420</v>
      </c>
      <c r="I10" s="14" t="n">
        <f aca="false">MAX(-Datos!$C$25,MIN(Datos!$C$25,Datos!$C$28*F10))</f>
        <v>420</v>
      </c>
      <c r="J10" s="14" t="n">
        <f aca="false">MAX(-Datos!$C$25,MIN(Datos!$C$25,Datos!$C$28*G10))</f>
        <v>420</v>
      </c>
      <c r="K10" s="33" t="n">
        <f aca="false">(0.85*Datos!$C$14*$B$8*D10+$F$8*(H10-IF($D$8&lt;D10,0.85*Datos!$C$14,0))+$H$8*(I10-IF($C$8/2&lt;D10,0.85*Datos!$C$14,0))+$G$8*(J10-IF($E$8&lt;D10,0.85*Datos!$C$14,0)))/1000</f>
        <v>1648.81877807845</v>
      </c>
      <c r="L10" s="33" t="n">
        <f aca="false">(0.85*Datos!$C$14*$B$8*D10*($C$8/2-D10/2)+$F$8*(H10-IF($D$8&lt;D10,0.85*Datos!$C$14,0))*($C$8/2-$D$8)+$G$8*(J10-IF($E$8&lt;D10,0.85*Datos!$C$14,0))*($C$8/2-$E$8))/10^6</f>
        <v>0</v>
      </c>
      <c r="M10" s="44" t="n">
        <f aca="false">-G10</f>
        <v>-0.00297648</v>
      </c>
      <c r="N10" s="30" t="n">
        <f aca="false">IF(M10&gt;=0.005,0.9,IF(M10&lt;=Datos!$C$25/Datos!$C$28,0.65,0.65+(M10-Datos!$C$25/Datos!$C$28)*0.25/(0.005-Datos!$C$25/Datos!$C$28)))</f>
        <v>0.65</v>
      </c>
      <c r="O10" s="33" t="n">
        <f aca="false">MIN(N10*K10,$J$8)</f>
        <v>857.385764600792</v>
      </c>
      <c r="P10" s="33" t="n">
        <f aca="false">N10*L10</f>
        <v>0</v>
      </c>
    </row>
    <row r="11" customFormat="false" ht="15" hidden="false" customHeight="false" outlineLevel="0" collapsed="false">
      <c r="B11" s="22" t="n">
        <v>3</v>
      </c>
      <c r="C11" s="14" t="n">
        <f aca="false">B11*$C$8</f>
        <v>750</v>
      </c>
      <c r="D11" s="14" t="n">
        <f aca="false">MIN(Datos!$C$16*C11,$C$8)</f>
        <v>250</v>
      </c>
      <c r="E11" s="44" t="n">
        <f aca="false">IF(C11=0,0,0.003*(C11-$D$8)/C11)</f>
        <v>0.002784</v>
      </c>
      <c r="F11" s="44" t="n">
        <f aca="false">IF(C11=0,0,0.003*(C11-$C$8/2)/C11)</f>
        <v>0.0025</v>
      </c>
      <c r="G11" s="44" t="n">
        <f aca="false">IF(C11=0,0,0.003*(C11-$E$8)/C11)</f>
        <v>0.002216</v>
      </c>
      <c r="H11" s="14" t="n">
        <f aca="false">MAX(-Datos!$C$25,MIN(Datos!$C$25,Datos!$C$28*E11))</f>
        <v>420</v>
      </c>
      <c r="I11" s="14" t="n">
        <f aca="false">MAX(-Datos!$C$25,MIN(Datos!$C$25,Datos!$C$28*F11))</f>
        <v>420</v>
      </c>
      <c r="J11" s="14" t="n">
        <f aca="false">MAX(-Datos!$C$25,MIN(Datos!$C$25,Datos!$C$28*G11))</f>
        <v>420</v>
      </c>
      <c r="K11" s="33" t="n">
        <f aca="false">(0.85*Datos!$C$14*$B$8*D11+$F$8*(H11-IF($D$8&lt;D11,0.85*Datos!$C$14,0))+$H$8*(I11-IF($C$8/2&lt;D11,0.85*Datos!$C$14,0))+$G$8*(J11-IF($E$8&lt;D11,0.85*Datos!$C$14,0)))/1000</f>
        <v>1648.81877807845</v>
      </c>
      <c r="L11" s="33" t="n">
        <f aca="false">(0.85*Datos!$C$14*$B$8*D11*($C$8/2-D11/2)+$F$8*(H11-IF($D$8&lt;D11,0.85*Datos!$C$14,0))*($C$8/2-$D$8)+$G$8*(J11-IF($E$8&lt;D11,0.85*Datos!$C$14,0))*($C$8/2-$E$8))/10^6</f>
        <v>0</v>
      </c>
      <c r="M11" s="44" t="n">
        <f aca="false">-G11</f>
        <v>-0.002216</v>
      </c>
      <c r="N11" s="30" t="n">
        <f aca="false">IF(M11&gt;=0.005,0.9,IF(M11&lt;=Datos!$C$25/Datos!$C$28,0.65,0.65+(M11-Datos!$C$25/Datos!$C$28)*0.25/(0.005-Datos!$C$25/Datos!$C$28)))</f>
        <v>0.65</v>
      </c>
      <c r="O11" s="33" t="n">
        <f aca="false">MIN(N11*K11,$J$8)</f>
        <v>857.385764600792</v>
      </c>
      <c r="P11" s="33" t="n">
        <f aca="false">N11*L11</f>
        <v>0</v>
      </c>
    </row>
    <row r="12" customFormat="false" ht="15" hidden="false" customHeight="false" outlineLevel="0" collapsed="false">
      <c r="B12" s="22" t="n">
        <v>2</v>
      </c>
      <c r="C12" s="14" t="n">
        <f aca="false">B12*$C$8</f>
        <v>500</v>
      </c>
      <c r="D12" s="14" t="n">
        <f aca="false">MIN(Datos!$C$16*C12,$C$8)</f>
        <v>250</v>
      </c>
      <c r="E12" s="44" t="n">
        <f aca="false">IF(C12=0,0,0.003*(C12-$D$8)/C12)</f>
        <v>0.002676</v>
      </c>
      <c r="F12" s="44" t="n">
        <f aca="false">IF(C12=0,0,0.003*(C12-$C$8/2)/C12)</f>
        <v>0.00225</v>
      </c>
      <c r="G12" s="44" t="n">
        <f aca="false">IF(C12=0,0,0.003*(C12-$E$8)/C12)</f>
        <v>0.001824</v>
      </c>
      <c r="H12" s="14" t="n">
        <f aca="false">MAX(-Datos!$C$25,MIN(Datos!$C$25,Datos!$C$28*E12))</f>
        <v>420</v>
      </c>
      <c r="I12" s="14" t="n">
        <f aca="false">MAX(-Datos!$C$25,MIN(Datos!$C$25,Datos!$C$28*F12))</f>
        <v>420</v>
      </c>
      <c r="J12" s="14" t="n">
        <f aca="false">MAX(-Datos!$C$25,MIN(Datos!$C$25,Datos!$C$28*G12))</f>
        <v>364.8</v>
      </c>
      <c r="K12" s="33" t="n">
        <f aca="false">(0.85*Datos!$C$14*$B$8*D12+$F$8*(H12-IF($D$8&lt;D12,0.85*Datos!$C$14,0))+$H$8*(I12-IF($C$8/2&lt;D12,0.85*Datos!$C$14,0))+$G$8*(J12-IF($E$8&lt;D12,0.85*Datos!$C$14,0)))/1000</f>
        <v>1626.62154102524</v>
      </c>
      <c r="L12" s="33" t="n">
        <f aca="false">(0.85*Datos!$C$14*$B$8*D12*($C$8/2-D12/2)+$F$8*(H12-IF($D$8&lt;D12,0.85*Datos!$C$14,0))*($C$8/2-$D$8)+$G$8*(J12-IF($E$8&lt;D12,0.85*Datos!$C$14,0))*($C$8/2-$E$8))/10^6</f>
        <v>1.57600383077749</v>
      </c>
      <c r="M12" s="44" t="n">
        <f aca="false">-G12</f>
        <v>-0.001824</v>
      </c>
      <c r="N12" s="30" t="n">
        <f aca="false">IF(M12&gt;=0.005,0.9,IF(M12&lt;=Datos!$C$25/Datos!$C$28,0.65,0.65+(M12-Datos!$C$25/Datos!$C$28)*0.25/(0.005-Datos!$C$25/Datos!$C$28)))</f>
        <v>0.65</v>
      </c>
      <c r="O12" s="33" t="n">
        <f aca="false">MIN(N12*K12,$J$8)</f>
        <v>857.385764600792</v>
      </c>
      <c r="P12" s="33" t="n">
        <f aca="false">N12*L12</f>
        <v>1.02440249000537</v>
      </c>
    </row>
    <row r="13" customFormat="false" ht="15" hidden="false" customHeight="false" outlineLevel="0" collapsed="false">
      <c r="B13" s="22" t="n">
        <v>1.5</v>
      </c>
      <c r="C13" s="14" t="n">
        <f aca="false">B13*$C$8</f>
        <v>375</v>
      </c>
      <c r="D13" s="14" t="n">
        <f aca="false">MIN(Datos!$C$16*C13,$C$8)</f>
        <v>250</v>
      </c>
      <c r="E13" s="44" t="n">
        <f aca="false">IF(C13=0,0,0.003*(C13-$D$8)/C13)</f>
        <v>0.002568</v>
      </c>
      <c r="F13" s="44" t="n">
        <f aca="false">IF(C13=0,0,0.003*(C13-$C$8/2)/C13)</f>
        <v>0.002</v>
      </c>
      <c r="G13" s="44" t="n">
        <f aca="false">IF(C13=0,0,0.003*(C13-$E$8)/C13)</f>
        <v>0.001432</v>
      </c>
      <c r="H13" s="14" t="n">
        <f aca="false">MAX(-Datos!$C$25,MIN(Datos!$C$25,Datos!$C$28*E13))</f>
        <v>420</v>
      </c>
      <c r="I13" s="14" t="n">
        <f aca="false">MAX(-Datos!$C$25,MIN(Datos!$C$25,Datos!$C$28*F13))</f>
        <v>400</v>
      </c>
      <c r="J13" s="14" t="n">
        <f aca="false">MAX(-Datos!$C$25,MIN(Datos!$C$25,Datos!$C$28*G13))</f>
        <v>286.4</v>
      </c>
      <c r="K13" s="33" t="n">
        <f aca="false">(0.85*Datos!$C$14*$B$8*D13+$F$8*(H13-IF($D$8&lt;D13,0.85*Datos!$C$14,0))+$H$8*(I13-IF($C$8/2&lt;D13,0.85*Datos!$C$14,0))+$G$8*(J13-IF($E$8&lt;D13,0.85*Datos!$C$14,0)))/1000</f>
        <v>1595.09503042794</v>
      </c>
      <c r="L13" s="33" t="n">
        <f aca="false">(0.85*Datos!$C$14*$B$8*D13*($C$8/2-D13/2)+$F$8*(H13-IF($D$8&lt;D13,0.85*Datos!$C$14,0))*($C$8/2-$D$8)+$G$8*(J13-IF($E$8&lt;D13,0.85*Datos!$C$14,0))*($C$8/2-$E$8))/10^6</f>
        <v>3.81438608318609</v>
      </c>
      <c r="M13" s="44" t="n">
        <f aca="false">-G13</f>
        <v>-0.001432</v>
      </c>
      <c r="N13" s="30" t="n">
        <f aca="false">IF(M13&gt;=0.005,0.9,IF(M13&lt;=Datos!$C$25/Datos!$C$28,0.65,0.65+(M13-Datos!$C$25/Datos!$C$28)*0.25/(0.005-Datos!$C$25/Datos!$C$28)))</f>
        <v>0.65</v>
      </c>
      <c r="O13" s="33" t="n">
        <f aca="false">MIN(N13*K13,$J$8)</f>
        <v>857.385764600792</v>
      </c>
      <c r="P13" s="33" t="n">
        <f aca="false">N13*L13</f>
        <v>2.47935095407096</v>
      </c>
    </row>
    <row r="14" customFormat="false" ht="15" hidden="false" customHeight="false" outlineLevel="0" collapsed="false">
      <c r="B14" s="22" t="n">
        <v>1.2</v>
      </c>
      <c r="C14" s="14" t="n">
        <f aca="false">B14*$C$8</f>
        <v>300</v>
      </c>
      <c r="D14" s="14" t="n">
        <f aca="false">MIN(Datos!$C$16*C14,$C$8)</f>
        <v>250</v>
      </c>
      <c r="E14" s="44" t="n">
        <f aca="false">IF(C14=0,0,0.003*(C14-$D$8)/C14)</f>
        <v>0.00246</v>
      </c>
      <c r="F14" s="44" t="n">
        <f aca="false">IF(C14=0,0,0.003*(C14-$C$8/2)/C14)</f>
        <v>0.00175</v>
      </c>
      <c r="G14" s="44" t="n">
        <f aca="false">IF(C14=0,0,0.003*(C14-$E$8)/C14)</f>
        <v>0.00104</v>
      </c>
      <c r="H14" s="14" t="n">
        <f aca="false">MAX(-Datos!$C$25,MIN(Datos!$C$25,Datos!$C$28*E14))</f>
        <v>420</v>
      </c>
      <c r="I14" s="14" t="n">
        <f aca="false">MAX(-Datos!$C$25,MIN(Datos!$C$25,Datos!$C$28*F14))</f>
        <v>350</v>
      </c>
      <c r="J14" s="14" t="n">
        <f aca="false">MAX(-Datos!$C$25,MIN(Datos!$C$25,Datos!$C$28*G14))</f>
        <v>208</v>
      </c>
      <c r="K14" s="33" t="n">
        <f aca="false">(0.85*Datos!$C$14*$B$8*D14+$F$8*(H14-IF($D$8&lt;D14,0.85*Datos!$C$14,0))+$H$8*(I14-IF($C$8/2&lt;D14,0.85*Datos!$C$14,0))+$G$8*(J14-IF($E$8&lt;D14,0.85*Datos!$C$14,0)))/1000</f>
        <v>1563.56851983063</v>
      </c>
      <c r="L14" s="33" t="n">
        <f aca="false">(0.85*Datos!$C$14*$B$8*D14*($C$8/2-D14/2)+$F$8*(H14-IF($D$8&lt;D14,0.85*Datos!$C$14,0))*($C$8/2-$D$8)+$G$8*(J14-IF($E$8&lt;D14,0.85*Datos!$C$14,0))*($C$8/2-$E$8))/10^6</f>
        <v>6.0527683355947</v>
      </c>
      <c r="M14" s="44" t="n">
        <f aca="false">-G14</f>
        <v>-0.00104</v>
      </c>
      <c r="N14" s="30" t="n">
        <f aca="false">IF(M14&gt;=0.005,0.9,IF(M14&lt;=Datos!$C$25/Datos!$C$28,0.65,0.65+(M14-Datos!$C$25/Datos!$C$28)*0.25/(0.005-Datos!$C$25/Datos!$C$28)))</f>
        <v>0.65</v>
      </c>
      <c r="O14" s="33" t="n">
        <f aca="false">MIN(N14*K14,$J$8)</f>
        <v>857.385764600792</v>
      </c>
      <c r="P14" s="33" t="n">
        <f aca="false">N14*L14</f>
        <v>3.93429941813655</v>
      </c>
    </row>
    <row r="15" customFormat="false" ht="15" hidden="false" customHeight="false" outlineLevel="0" collapsed="false">
      <c r="B15" s="22" t="n">
        <v>1</v>
      </c>
      <c r="C15" s="14" t="n">
        <f aca="false">B15*$C$8</f>
        <v>250</v>
      </c>
      <c r="D15" s="14" t="n">
        <f aca="false">MIN(Datos!$C$16*C15,$C$8)</f>
        <v>212.5</v>
      </c>
      <c r="E15" s="44" t="n">
        <f aca="false">IF(C15=0,0,0.003*(C15-$D$8)/C15)</f>
        <v>0.002352</v>
      </c>
      <c r="F15" s="44" t="n">
        <f aca="false">IF(C15=0,0,0.003*(C15-$C$8/2)/C15)</f>
        <v>0.0015</v>
      </c>
      <c r="G15" s="44" t="n">
        <f aca="false">IF(C15=0,0,0.003*(C15-$E$8)/C15)</f>
        <v>0.000648</v>
      </c>
      <c r="H15" s="14" t="n">
        <f aca="false">MAX(-Datos!$C$25,MIN(Datos!$C$25,Datos!$C$28*E15))</f>
        <v>420</v>
      </c>
      <c r="I15" s="14" t="n">
        <f aca="false">MAX(-Datos!$C$25,MIN(Datos!$C$25,Datos!$C$28*F15))</f>
        <v>300</v>
      </c>
      <c r="J15" s="14" t="n">
        <f aca="false">MAX(-Datos!$C$25,MIN(Datos!$C$25,Datos!$C$28*G15))</f>
        <v>129.6</v>
      </c>
      <c r="K15" s="33" t="n">
        <f aca="false">(0.85*Datos!$C$14*$B$8*D15+$F$8*(H15-IF($D$8&lt;D15,0.85*Datos!$C$14,0))+$H$8*(I15-IF($C$8/2&lt;D15,0.85*Datos!$C$14,0))+$G$8*(J15-IF($E$8&lt;D15,0.85*Datos!$C$14,0)))/1000</f>
        <v>1332.82325923333</v>
      </c>
      <c r="L15" s="33" t="n">
        <f aca="false">(0.85*Datos!$C$14*$B$8*D15*($C$8/2-D15/2)+$F$8*(H15-IF($D$8&lt;D15,0.85*Datos!$C$14,0))*($C$8/2-$D$8)+$G$8*(J15-IF($E$8&lt;D15,0.85*Datos!$C$14,0))*($C$8/2-$E$8))/10^6</f>
        <v>29.4581427755033</v>
      </c>
      <c r="M15" s="44" t="n">
        <f aca="false">-G15</f>
        <v>-0.000648</v>
      </c>
      <c r="N15" s="30" t="n">
        <f aca="false">IF(M15&gt;=0.005,0.9,IF(M15&lt;=Datos!$C$25/Datos!$C$28,0.65,0.65+(M15-Datos!$C$25/Datos!$C$28)*0.25/(0.005-Datos!$C$25/Datos!$C$28)))</f>
        <v>0.65</v>
      </c>
      <c r="O15" s="33" t="n">
        <f aca="false">MIN(N15*K15,$J$8)</f>
        <v>857.385764600792</v>
      </c>
      <c r="P15" s="33" t="n">
        <f aca="false">N15*L15</f>
        <v>19.1477928040771</v>
      </c>
    </row>
    <row r="16" customFormat="false" ht="15" hidden="false" customHeight="false" outlineLevel="0" collapsed="false">
      <c r="B16" s="22" t="n">
        <v>0.9</v>
      </c>
      <c r="C16" s="14" t="n">
        <f aca="false">B16*$C$8</f>
        <v>225</v>
      </c>
      <c r="D16" s="14" t="n">
        <f aca="false">MIN(Datos!$C$16*C16,$C$8)</f>
        <v>191.25</v>
      </c>
      <c r="E16" s="44" t="n">
        <f aca="false">IF(C16=0,0,0.003*(C16-$D$8)/C16)</f>
        <v>0.00228</v>
      </c>
      <c r="F16" s="44" t="n">
        <f aca="false">IF(C16=0,0,0.003*(C16-$C$8/2)/C16)</f>
        <v>0.00133333333333333</v>
      </c>
      <c r="G16" s="44" t="n">
        <f aca="false">IF(C16=0,0,0.003*(C16-$E$8)/C16)</f>
        <v>0.000386666666666667</v>
      </c>
      <c r="H16" s="14" t="n">
        <f aca="false">MAX(-Datos!$C$25,MIN(Datos!$C$25,Datos!$C$28*E16))</f>
        <v>420</v>
      </c>
      <c r="I16" s="14" t="n">
        <f aca="false">MAX(-Datos!$C$25,MIN(Datos!$C$25,Datos!$C$28*F16))</f>
        <v>266.666666666667</v>
      </c>
      <c r="J16" s="14" t="n">
        <f aca="false">MAX(-Datos!$C$25,MIN(Datos!$C$25,Datos!$C$28*G16))</f>
        <v>77.3333333333333</v>
      </c>
      <c r="K16" s="33" t="n">
        <f aca="false">(0.85*Datos!$C$14*$B$8*D16+$F$8*(H16-IF($D$8&lt;D16,0.85*Datos!$C$14,0))+$H$8*(I16-IF($C$8/2&lt;D16,0.85*Datos!$C$14,0))+$G$8*(J16-IF($E$8&lt;D16,0.85*Datos!$C$14,0)))/1000</f>
        <v>1207.46009251956</v>
      </c>
      <c r="L16" s="33" t="n">
        <f aca="false">(0.85*Datos!$C$14*$B$8*D16*($C$8/2-D16/2)+$F$8*(H16-IF($D$8&lt;D16,0.85*Datos!$C$14,0))*($C$8/2-$D$8)+$G$8*(J16-IF($E$8&lt;D16,0.85*Datos!$C$14,0))*($C$8/2-$E$8))/10^6</f>
        <v>39.0221600340561</v>
      </c>
      <c r="M16" s="44" t="n">
        <f aca="false">-G16</f>
        <v>-0.000386666666666667</v>
      </c>
      <c r="N16" s="30" t="n">
        <f aca="false">IF(M16&gt;=0.005,0.9,IF(M16&lt;=Datos!$C$25/Datos!$C$28,0.65,0.65+(M16-Datos!$C$25/Datos!$C$28)*0.25/(0.005-Datos!$C$25/Datos!$C$28)))</f>
        <v>0.65</v>
      </c>
      <c r="O16" s="33" t="n">
        <f aca="false">MIN(N16*K16,$J$8)</f>
        <v>784.849060137712</v>
      </c>
      <c r="P16" s="33" t="n">
        <f aca="false">N16*L16</f>
        <v>25.3644040221365</v>
      </c>
    </row>
    <row r="17" customFormat="false" ht="15" hidden="false" customHeight="false" outlineLevel="0" collapsed="false">
      <c r="B17" s="22" t="n">
        <v>0.8</v>
      </c>
      <c r="C17" s="14" t="n">
        <f aca="false">B17*$C$8</f>
        <v>200</v>
      </c>
      <c r="D17" s="14" t="n">
        <f aca="false">MIN(Datos!$C$16*C17,$C$8)</f>
        <v>170</v>
      </c>
      <c r="E17" s="44" t="n">
        <f aca="false">IF(C17=0,0,0.003*(C17-$D$8)/C17)</f>
        <v>0.00219</v>
      </c>
      <c r="F17" s="44" t="n">
        <f aca="false">IF(C17=0,0,0.003*(C17-$C$8/2)/C17)</f>
        <v>0.001125</v>
      </c>
      <c r="G17" s="44" t="n">
        <f aca="false">IF(C17=0,0,0.003*(C17-$E$8)/C17)</f>
        <v>6E-005</v>
      </c>
      <c r="H17" s="14" t="n">
        <f aca="false">MAX(-Datos!$C$25,MIN(Datos!$C$25,Datos!$C$28*E17))</f>
        <v>420</v>
      </c>
      <c r="I17" s="14" t="n">
        <f aca="false">MAX(-Datos!$C$25,MIN(Datos!$C$25,Datos!$C$28*F17))</f>
        <v>225</v>
      </c>
      <c r="J17" s="14" t="n">
        <f aca="false">MAX(-Datos!$C$25,MIN(Datos!$C$25,Datos!$C$28*G17))</f>
        <v>12</v>
      </c>
      <c r="K17" s="33" t="n">
        <f aca="false">(0.85*Datos!$C$14*$B$8*D17+$F$8*(H17-IF($D$8&lt;D17,0.85*Datos!$C$14,0))+$H$8*(I17-IF($C$8/2&lt;D17,0.85*Datos!$C$14,0))+$G$8*(J17-IF($E$8&lt;D17,0.85*Datos!$C$14,0)))/1000</f>
        <v>1068.29737535514</v>
      </c>
      <c r="L17" s="33" t="n">
        <f aca="false">(0.85*Datos!$C$14*$B$8*D17*($C$8/2-D17/2)+$F$8*(H17-IF($D$8&lt;D17,0.85*Datos!$C$14,0))*($C$8/2-$D$8)+$G$8*(J17-IF($E$8&lt;D17,0.85*Datos!$C$14,0))*($C$8/2-$E$8))/10^6</f>
        <v>47.167019593355</v>
      </c>
      <c r="M17" s="44" t="n">
        <f aca="false">-G17</f>
        <v>-6E-005</v>
      </c>
      <c r="N17" s="30" t="n">
        <f aca="false">IF(M17&gt;=0.005,0.9,IF(M17&lt;=Datos!$C$25/Datos!$C$28,0.65,0.65+(M17-Datos!$C$25/Datos!$C$28)*0.25/(0.005-Datos!$C$25/Datos!$C$28)))</f>
        <v>0.65</v>
      </c>
      <c r="O17" s="33" t="n">
        <f aca="false">MIN(N17*K17,$J$8)</f>
        <v>694.393293980839</v>
      </c>
      <c r="P17" s="33" t="n">
        <f aca="false">N17*L17</f>
        <v>30.6585627356807</v>
      </c>
    </row>
    <row r="18" customFormat="false" ht="15" hidden="false" customHeight="false" outlineLevel="0" collapsed="false">
      <c r="B18" s="22" t="n">
        <v>0.7</v>
      </c>
      <c r="C18" s="14" t="n">
        <f aca="false">B18*$C$8</f>
        <v>175</v>
      </c>
      <c r="D18" s="14" t="n">
        <f aca="false">MIN(Datos!$C$16*C18,$C$8)</f>
        <v>148.75</v>
      </c>
      <c r="E18" s="44" t="n">
        <f aca="false">IF(C18=0,0,0.003*(C18-$D$8)/C18)</f>
        <v>0.00207428571428571</v>
      </c>
      <c r="F18" s="44" t="n">
        <f aca="false">IF(C18=0,0,0.003*(C18-$C$8/2)/C18)</f>
        <v>0.000857142857142857</v>
      </c>
      <c r="G18" s="44" t="n">
        <f aca="false">IF(C18=0,0,0.003*(C18-$E$8)/C18)</f>
        <v>-0.00036</v>
      </c>
      <c r="H18" s="14" t="n">
        <f aca="false">MAX(-Datos!$C$25,MIN(Datos!$C$25,Datos!$C$28*E18))</f>
        <v>414.857142857143</v>
      </c>
      <c r="I18" s="14" t="n">
        <f aca="false">MAX(-Datos!$C$25,MIN(Datos!$C$25,Datos!$C$28*F18))</f>
        <v>171.428571428571</v>
      </c>
      <c r="J18" s="14" t="n">
        <f aca="false">MAX(-Datos!$C$25,MIN(Datos!$C$25,Datos!$C$28*G18))</f>
        <v>-72</v>
      </c>
      <c r="K18" s="33" t="n">
        <f aca="false">(0.85*Datos!$C$14*$B$8*D18+$F$8*(H18-IF($D$8&lt;D18,0.85*Datos!$C$14,0))+$H$8*(I18-IF($C$8/2&lt;D18,0.85*Datos!$C$14,0))+$G$8*(J18-IF($E$8&lt;D18,0.85*Datos!$C$14,0)))/1000</f>
        <v>919.560280579776</v>
      </c>
      <c r="L18" s="33" t="n">
        <f aca="false">(0.85*Datos!$C$14*$B$8*D18*($C$8/2-D18/2)+$F$8*(H18-IF($D$8&lt;D18,0.85*Datos!$C$14,0))*($C$8/2-$D$8)+$G$8*(J18-IF($E$8&lt;D18,0.85*Datos!$C$14,0))*($C$8/2-$E$8))/10^6</f>
        <v>53.2990688716978</v>
      </c>
      <c r="M18" s="44" t="n">
        <f aca="false">-G18</f>
        <v>0.00036</v>
      </c>
      <c r="N18" s="30" t="n">
        <f aca="false">IF(M18&gt;=0.005,0.9,IF(M18&lt;=Datos!$C$25/Datos!$C$28,0.65,0.65+(M18-Datos!$C$25/Datos!$C$28)*0.25/(0.005-Datos!$C$25/Datos!$C$28)))</f>
        <v>0.65</v>
      </c>
      <c r="O18" s="33" t="n">
        <f aca="false">MIN(N18*K18,$J$8)</f>
        <v>597.714182376855</v>
      </c>
      <c r="P18" s="33" t="n">
        <f aca="false">N18*L18</f>
        <v>34.6443947666036</v>
      </c>
    </row>
    <row r="19" customFormat="false" ht="15" hidden="false" customHeight="false" outlineLevel="0" collapsed="false">
      <c r="B19" s="22" t="n">
        <v>0.6</v>
      </c>
      <c r="C19" s="14" t="n">
        <f aca="false">B19*$C$8</f>
        <v>150</v>
      </c>
      <c r="D19" s="14" t="n">
        <f aca="false">MIN(Datos!$C$16*C19,$C$8)</f>
        <v>127.5</v>
      </c>
      <c r="E19" s="44" t="n">
        <f aca="false">IF(C19=0,0,0.003*(C19-$D$8)/C19)</f>
        <v>0.00192</v>
      </c>
      <c r="F19" s="44" t="n">
        <f aca="false">IF(C19=0,0,0.003*(C19-$C$8/2)/C19)</f>
        <v>0.0005</v>
      </c>
      <c r="G19" s="44" t="n">
        <f aca="false">IF(C19=0,0,0.003*(C19-$E$8)/C19)</f>
        <v>-0.00092</v>
      </c>
      <c r="H19" s="14" t="n">
        <f aca="false">MAX(-Datos!$C$25,MIN(Datos!$C$25,Datos!$C$28*E19))</f>
        <v>384</v>
      </c>
      <c r="I19" s="14" t="n">
        <f aca="false">MAX(-Datos!$C$25,MIN(Datos!$C$25,Datos!$C$28*F19))</f>
        <v>100</v>
      </c>
      <c r="J19" s="14" t="n">
        <f aca="false">MAX(-Datos!$C$25,MIN(Datos!$C$25,Datos!$C$28*G19))</f>
        <v>-184</v>
      </c>
      <c r="K19" s="33" t="n">
        <f aca="false">(0.85*Datos!$C$14*$B$8*D19+$F$8*(H19-IF($D$8&lt;D19,0.85*Datos!$C$14,0))+$H$8*(I19-IF($C$8/2&lt;D19,0.85*Datos!$C$14,0))+$G$8*(J19-IF($E$8&lt;D19,0.85*Datos!$C$14,0)))/1000</f>
        <v>749.223389914135</v>
      </c>
      <c r="L19" s="33" t="n">
        <f aca="false">(0.85*Datos!$C$14*$B$8*D19*($C$8/2-D19/2)+$F$8*(H19-IF($D$8&lt;D19,0.85*Datos!$C$14,0))*($C$8/2-$D$8)+$G$8*(J19-IF($E$8&lt;D19,0.85*Datos!$C$14,0))*($C$8/2-$E$8))/10^6</f>
        <v>57.0974513265868</v>
      </c>
      <c r="M19" s="44" t="n">
        <f aca="false">-G19</f>
        <v>0.00092</v>
      </c>
      <c r="N19" s="30" t="n">
        <f aca="false">IF(M19&gt;=0.005,0.9,IF(M19&lt;=Datos!$C$25/Datos!$C$28,0.65,0.65+(M19-Datos!$C$25/Datos!$C$28)*0.25/(0.005-Datos!$C$25/Datos!$C$28)))</f>
        <v>0.65</v>
      </c>
      <c r="O19" s="33" t="n">
        <f aca="false">MIN(N19*K19,$J$8)</f>
        <v>486.995203444187</v>
      </c>
      <c r="P19" s="33" t="n">
        <f aca="false">N19*L19</f>
        <v>37.1133433622814</v>
      </c>
    </row>
    <row r="20" customFormat="false" ht="15" hidden="false" customHeight="false" outlineLevel="0" collapsed="false">
      <c r="B20" s="22" t="n">
        <v>0.5</v>
      </c>
      <c r="C20" s="14" t="n">
        <f aca="false">B20*$C$8</f>
        <v>125</v>
      </c>
      <c r="D20" s="14" t="n">
        <f aca="false">MIN(Datos!$C$16*C20,$C$8)</f>
        <v>106.25</v>
      </c>
      <c r="E20" s="44" t="n">
        <f aca="false">IF(C20=0,0,0.003*(C20-$D$8)/C20)</f>
        <v>0.001704</v>
      </c>
      <c r="F20" s="44" t="n">
        <f aca="false">IF(C20=0,0,0.003*(C20-$C$8/2)/C20)</f>
        <v>0</v>
      </c>
      <c r="G20" s="44" t="n">
        <f aca="false">IF(C20=0,0,0.003*(C20-$E$8)/C20)</f>
        <v>-0.001704</v>
      </c>
      <c r="H20" s="14" t="n">
        <f aca="false">MAX(-Datos!$C$25,MIN(Datos!$C$25,Datos!$C$28*E20))</f>
        <v>340.8</v>
      </c>
      <c r="I20" s="14" t="n">
        <f aca="false">MAX(-Datos!$C$25,MIN(Datos!$C$25,Datos!$C$28*F20))</f>
        <v>0</v>
      </c>
      <c r="J20" s="14" t="n">
        <f aca="false">MAX(-Datos!$C$25,MIN(Datos!$C$25,Datos!$C$28*G20))</f>
        <v>-340.8</v>
      </c>
      <c r="K20" s="33" t="n">
        <f aca="false">(0.85*Datos!$C$14*$B$8*D20+$F$8*(H20-IF($D$8&lt;D20,0.85*Datos!$C$14,0))+$H$8*(I20-IF($C$8/2&lt;D20,0.85*Datos!$C$14,0))+$G$8*(J20-IF($E$8&lt;D20,0.85*Datos!$C$14,0)))/1000</f>
        <v>555.907992982236</v>
      </c>
      <c r="L20" s="33" t="n">
        <f aca="false">(0.85*Datos!$C$14*$B$8*D20*($C$8/2-D20/2)+$F$8*(H20-IF($D$8&lt;D20,0.85*Datos!$C$14,0))*($C$8/2-$D$8)+$G$8*(J20-IF($E$8&lt;D20,0.85*Datos!$C$14,0))*($C$8/2-$E$8))/10^6</f>
        <v>59.4235852009314</v>
      </c>
      <c r="M20" s="44" t="n">
        <f aca="false">-G20</f>
        <v>0.001704</v>
      </c>
      <c r="N20" s="30" t="n">
        <f aca="false">IF(M20&gt;=0.005,0.9,IF(M20&lt;=Datos!$C$25/Datos!$C$28,0.65,0.65+(M20-Datos!$C$25/Datos!$C$28)*0.25/(0.005-Datos!$C$25/Datos!$C$28)))</f>
        <v>0.65</v>
      </c>
      <c r="O20" s="33" t="n">
        <f aca="false">MIN(N20*K20,$J$8)</f>
        <v>361.340195438453</v>
      </c>
      <c r="P20" s="33" t="n">
        <f aca="false">N20*L20</f>
        <v>38.6253303806054</v>
      </c>
    </row>
    <row r="21" customFormat="false" ht="15" hidden="false" customHeight="false" outlineLevel="0" collapsed="false">
      <c r="B21" s="22" t="n">
        <v>0.45</v>
      </c>
      <c r="C21" s="14" t="n">
        <f aca="false">B21*$C$8</f>
        <v>112.5</v>
      </c>
      <c r="D21" s="14" t="n">
        <f aca="false">MIN(Datos!$C$16*C21,$C$8)</f>
        <v>95.625</v>
      </c>
      <c r="E21" s="44" t="n">
        <f aca="false">IF(C21=0,0,0.003*(C21-$D$8)/C21)</f>
        <v>0.00156</v>
      </c>
      <c r="F21" s="44" t="n">
        <f aca="false">IF(C21=0,0,0.003*(C21-$C$8/2)/C21)</f>
        <v>-0.000333333333333333</v>
      </c>
      <c r="G21" s="44" t="n">
        <f aca="false">IF(C21=0,0,0.003*(C21-$E$8)/C21)</f>
        <v>-0.00222666666666667</v>
      </c>
      <c r="H21" s="14" t="n">
        <f aca="false">MAX(-Datos!$C$25,MIN(Datos!$C$25,Datos!$C$28*E21))</f>
        <v>312</v>
      </c>
      <c r="I21" s="14" t="n">
        <f aca="false">MAX(-Datos!$C$25,MIN(Datos!$C$25,Datos!$C$28*F21))</f>
        <v>-66.6666666666667</v>
      </c>
      <c r="J21" s="14" t="n">
        <f aca="false">MAX(-Datos!$C$25,MIN(Datos!$C$25,Datos!$C$28*G21))</f>
        <v>-420</v>
      </c>
      <c r="K21" s="33" t="n">
        <f aca="false">(0.85*Datos!$C$14*$B$8*D21+$F$8*(H21-IF($D$8&lt;D21,0.85*Datos!$C$14,0))+$H$8*(I21-IF($C$8/2&lt;D21,0.85*Datos!$C$14,0))+$G$8*(J21-IF($E$8&lt;D21,0.85*Datos!$C$14,0)))/1000</f>
        <v>456.03330363901</v>
      </c>
      <c r="L21" s="33" t="n">
        <f aca="false">(0.85*Datos!$C$14*$B$8*D21*($C$8/2-D21/2)+$F$8*(H21-IF($D$8&lt;D21,0.85*Datos!$C$14,0))*($C$8/2-$D$8)+$G$8*(J21-IF($E$8&lt;D21,0.85*Datos!$C$14,0))*($C$8/2-$E$8))/10^6</f>
        <v>59.5043298883057</v>
      </c>
      <c r="M21" s="44" t="n">
        <f aca="false">-G21</f>
        <v>0.00222666666666667</v>
      </c>
      <c r="N21" s="30" t="n">
        <f aca="false">IF(M21&gt;=0.005,0.9,IF(M21&lt;=Datos!$C$25/Datos!$C$28,0.65,0.65+(M21-Datos!$C$25/Datos!$C$28)*0.25/(0.005-Datos!$C$25/Datos!$C$28)))</f>
        <v>0.660919540229885</v>
      </c>
      <c r="O21" s="33" t="n">
        <f aca="false">MIN(N21*K21,$J$8)</f>
        <v>301.40132137061</v>
      </c>
      <c r="P21" s="33" t="n">
        <f aca="false">N21*L21</f>
        <v>39.3275743514664</v>
      </c>
    </row>
    <row r="22" customFormat="false" ht="15" hidden="false" customHeight="false" outlineLevel="0" collapsed="false">
      <c r="B22" s="22" t="n">
        <v>0.4</v>
      </c>
      <c r="C22" s="14" t="n">
        <f aca="false">B22*$C$8</f>
        <v>100</v>
      </c>
      <c r="D22" s="14" t="n">
        <f aca="false">MIN(Datos!$C$16*C22,$C$8)</f>
        <v>85</v>
      </c>
      <c r="E22" s="44" t="n">
        <f aca="false">IF(C22=0,0,0.003*(C22-$D$8)/C22)</f>
        <v>0.00138</v>
      </c>
      <c r="F22" s="44" t="n">
        <f aca="false">IF(C22=0,0,0.003*(C22-$C$8/2)/C22)</f>
        <v>-0.00075</v>
      </c>
      <c r="G22" s="44" t="n">
        <f aca="false">IF(C22=0,0,0.003*(C22-$E$8)/C22)</f>
        <v>-0.00288</v>
      </c>
      <c r="H22" s="14" t="n">
        <f aca="false">MAX(-Datos!$C$25,MIN(Datos!$C$25,Datos!$C$28*E22))</f>
        <v>276</v>
      </c>
      <c r="I22" s="14" t="n">
        <f aca="false">MAX(-Datos!$C$25,MIN(Datos!$C$25,Datos!$C$28*F22))</f>
        <v>-150</v>
      </c>
      <c r="J22" s="14" t="n">
        <f aca="false">MAX(-Datos!$C$25,MIN(Datos!$C$25,Datos!$C$28*G22))</f>
        <v>-420</v>
      </c>
      <c r="K22" s="33" t="n">
        <f aca="false">(0.85*Datos!$C$14*$B$8*D22+$F$8*(H22-IF($D$8&lt;D22,0.85*Datos!$C$14,0))+$H$8*(I22-IF($C$8/2&lt;D22,0.85*Datos!$C$14,0))+$G$8*(J22-IF($E$8&lt;D22,0.85*Datos!$C$14,0)))/1000</f>
        <v>385.111532191269</v>
      </c>
      <c r="L22" s="33" t="n">
        <f aca="false">(0.85*Datos!$C$14*$B$8*D22*($C$8/2-D22/2)+$F$8*(H22-IF($D$8&lt;D22,0.85*Datos!$C$14,0))*($C$8/2-$D$8)+$G$8*(J22-IF($E$8&lt;D22,0.85*Datos!$C$14,0))*($C$8/2-$E$8))/10^6</f>
        <v>56.5185545256723</v>
      </c>
      <c r="M22" s="44" t="n">
        <f aca="false">-G22</f>
        <v>0.00288</v>
      </c>
      <c r="N22" s="30" t="n">
        <f aca="false">IF(M22&gt;=0.005,0.9,IF(M22&lt;=Datos!$C$25/Datos!$C$28,0.65,0.65+(M22-Datos!$C$25/Datos!$C$28)*0.25/(0.005-Datos!$C$25/Datos!$C$28)))</f>
        <v>0.717241379310345</v>
      </c>
      <c r="O22" s="33" t="n">
        <f aca="false">MIN(N22*K22,$J$8)</f>
        <v>276.217926537186</v>
      </c>
      <c r="P22" s="33" t="n">
        <f aca="false">N22*L22</f>
        <v>40.5374460046201</v>
      </c>
    </row>
    <row r="23" customFormat="false" ht="15" hidden="false" customHeight="false" outlineLevel="0" collapsed="false">
      <c r="B23" s="22" t="n">
        <v>0.35</v>
      </c>
      <c r="C23" s="14" t="n">
        <f aca="false">B23*$C$8</f>
        <v>87.5</v>
      </c>
      <c r="D23" s="14" t="n">
        <f aca="false">MIN(Datos!$C$16*C23,$C$8)</f>
        <v>74.375</v>
      </c>
      <c r="E23" s="44" t="n">
        <f aca="false">IF(C23=0,0,0.003*(C23-$D$8)/C23)</f>
        <v>0.00114857142857143</v>
      </c>
      <c r="F23" s="44" t="n">
        <f aca="false">IF(C23=0,0,0.003*(C23-$C$8/2)/C23)</f>
        <v>-0.00128571428571429</v>
      </c>
      <c r="G23" s="44" t="n">
        <f aca="false">IF(C23=0,0,0.003*(C23-$E$8)/C23)</f>
        <v>-0.00372</v>
      </c>
      <c r="H23" s="14" t="n">
        <f aca="false">MAX(-Datos!$C$25,MIN(Datos!$C$25,Datos!$C$28*E23))</f>
        <v>229.714285714286</v>
      </c>
      <c r="I23" s="14" t="n">
        <f aca="false">MAX(-Datos!$C$25,MIN(Datos!$C$25,Datos!$C$28*F23))</f>
        <v>-257.142857142857</v>
      </c>
      <c r="J23" s="14" t="n">
        <f aca="false">MAX(-Datos!$C$25,MIN(Datos!$C$25,Datos!$C$28*G23))</f>
        <v>-420</v>
      </c>
      <c r="K23" s="33" t="n">
        <f aca="false">(0.85*Datos!$C$14*$B$8*D23+$F$8*(H23-IF($D$8&lt;D23,0.85*Datos!$C$14,0))+$H$8*(I23-IF($C$8/2&lt;D23,0.85*Datos!$C$14,0))+$G$8*(J23-IF($E$8&lt;D23,0.85*Datos!$C$14,0)))/1000</f>
        <v>310.053629615601</v>
      </c>
      <c r="L23" s="33" t="n">
        <f aca="false">(0.85*Datos!$C$14*$B$8*D23*($C$8/2-D23/2)+$F$8*(H23-IF($D$8&lt;D23,0.85*Datos!$C$14,0))*($C$8/2-$D$8)+$G$8*(J23-IF($E$8&lt;D23,0.85*Datos!$C$14,0))*($C$8/2-$E$8))/10^6</f>
        <v>52.6393824076436</v>
      </c>
      <c r="M23" s="44" t="n">
        <f aca="false">-G23</f>
        <v>0.00372</v>
      </c>
      <c r="N23" s="30" t="n">
        <f aca="false">IF(M23&gt;=0.005,0.9,IF(M23&lt;=Datos!$C$25/Datos!$C$28,0.65,0.65+(M23-Datos!$C$25/Datos!$C$28)*0.25/(0.005-Datos!$C$25/Datos!$C$28)))</f>
        <v>0.789655172413793</v>
      </c>
      <c r="O23" s="33" t="n">
        <f aca="false">MIN(N23*K23,$J$8)</f>
        <v>244.83545235163</v>
      </c>
      <c r="P23" s="33" t="n">
        <f aca="false">N23*L23</f>
        <v>41.5669605908634</v>
      </c>
    </row>
    <row r="24" customFormat="false" ht="15" hidden="false" customHeight="false" outlineLevel="0" collapsed="false">
      <c r="B24" s="22" t="n">
        <v>0.3</v>
      </c>
      <c r="C24" s="14" t="n">
        <f aca="false">B24*$C$8</f>
        <v>75</v>
      </c>
      <c r="D24" s="14" t="n">
        <f aca="false">MIN(Datos!$C$16*C24,$C$8)</f>
        <v>63.75</v>
      </c>
      <c r="E24" s="44" t="n">
        <f aca="false">IF(C24=0,0,0.003*(C24-$D$8)/C24)</f>
        <v>0.00084</v>
      </c>
      <c r="F24" s="44" t="n">
        <f aca="false">IF(C24=0,0,0.003*(C24-$C$8/2)/C24)</f>
        <v>-0.002</v>
      </c>
      <c r="G24" s="44" t="n">
        <f aca="false">IF(C24=0,0,0.003*(C24-$E$8)/C24)</f>
        <v>-0.00484</v>
      </c>
      <c r="H24" s="14" t="n">
        <f aca="false">MAX(-Datos!$C$25,MIN(Datos!$C$25,Datos!$C$28*E24))</f>
        <v>168</v>
      </c>
      <c r="I24" s="14" t="n">
        <f aca="false">MAX(-Datos!$C$25,MIN(Datos!$C$25,Datos!$C$28*F24))</f>
        <v>-400</v>
      </c>
      <c r="J24" s="14" t="n">
        <f aca="false">MAX(-Datos!$C$25,MIN(Datos!$C$25,Datos!$C$28*G24))</f>
        <v>-420</v>
      </c>
      <c r="K24" s="33" t="n">
        <f aca="false">(0.85*Datos!$C$14*$B$8*D24+$F$8*(H24-IF($D$8&lt;D24,0.85*Datos!$C$14,0))+$H$8*(I24-IF($C$8/2&lt;D24,0.85*Datos!$C$14,0))+$G$8*(J24-IF($E$8&lt;D24,0.85*Datos!$C$14,0)))/1000</f>
        <v>228.791530348043</v>
      </c>
      <c r="L24" s="33" t="n">
        <f aca="false">(0.85*Datos!$C$14*$B$8*D24*($C$8/2-D24/2)+$F$8*(H24-IF($D$8&lt;D24,0.85*Datos!$C$14,0))*($C$8/2-$D$8)+$G$8*(J24-IF($E$8&lt;D24,0.85*Datos!$C$14,0))*($C$8/2-$E$8))/10^6</f>
        <v>47.7199808791783</v>
      </c>
      <c r="M24" s="44" t="n">
        <f aca="false">-G24</f>
        <v>0.00484</v>
      </c>
      <c r="N24" s="30" t="n">
        <f aca="false">IF(M24&gt;=0.005,0.9,IF(M24&lt;=Datos!$C$25/Datos!$C$28,0.65,0.65+(M24-Datos!$C$25/Datos!$C$28)*0.25/(0.005-Datos!$C$25/Datos!$C$28)))</f>
        <v>0.886206896551724</v>
      </c>
      <c r="O24" s="33" t="n">
        <f aca="false">MIN(N24*K24,$J$8)</f>
        <v>202.756632067059</v>
      </c>
      <c r="P24" s="33" t="n">
        <f aca="false">N24*L24</f>
        <v>42.2897761584442</v>
      </c>
    </row>
    <row r="25" customFormat="false" ht="15" hidden="false" customHeight="false" outlineLevel="0" collapsed="false">
      <c r="B25" s="22" t="n">
        <v>0.25</v>
      </c>
      <c r="C25" s="14" t="n">
        <f aca="false">B25*$C$8</f>
        <v>62.5</v>
      </c>
      <c r="D25" s="14" t="n">
        <f aca="false">MIN(Datos!$C$16*C25,$C$8)</f>
        <v>53.125</v>
      </c>
      <c r="E25" s="44" t="n">
        <f aca="false">IF(C25=0,0,0.003*(C25-$D$8)/C25)</f>
        <v>0.000408</v>
      </c>
      <c r="F25" s="44" t="n">
        <f aca="false">IF(C25=0,0,0.003*(C25-$C$8/2)/C25)</f>
        <v>-0.003</v>
      </c>
      <c r="G25" s="44" t="n">
        <f aca="false">IF(C25=0,0,0.003*(C25-$E$8)/C25)</f>
        <v>-0.006408</v>
      </c>
      <c r="H25" s="14" t="n">
        <f aca="false">MAX(-Datos!$C$25,MIN(Datos!$C$25,Datos!$C$28*E25))</f>
        <v>81.6</v>
      </c>
      <c r="I25" s="14" t="n">
        <f aca="false">MAX(-Datos!$C$25,MIN(Datos!$C$25,Datos!$C$28*F25))</f>
        <v>-420</v>
      </c>
      <c r="J25" s="14" t="n">
        <f aca="false">MAX(-Datos!$C$25,MIN(Datos!$C$25,Datos!$C$28*G25))</f>
        <v>-420</v>
      </c>
      <c r="K25" s="33" t="n">
        <f aca="false">(0.85*Datos!$C$14*$B$8*D25+$F$8*(H25-IF($D$8&lt;D25,0.85*Datos!$C$14,0))+$H$8*(I25-IF($C$8/2&lt;D25,0.85*Datos!$C$14,0))+$G$8*(J25-IF($E$8&lt;D25,0.85*Datos!$C$14,0)))/1000</f>
        <v>146.147848391227</v>
      </c>
      <c r="L25" s="33" t="n">
        <f aca="false">(0.85*Datos!$C$14*$B$8*D25*($C$8/2-D25/2)+$F$8*(H25-IF($D$8&lt;D25,0.85*Datos!$C$14,0))*($C$8/2-$D$8)+$G$8*(J25-IF($E$8&lt;D25,0.85*Datos!$C$14,0))*($C$8/2-$E$8))/10^6</f>
        <v>42.1027555344631</v>
      </c>
      <c r="M25" s="44" t="n">
        <f aca="false">-G25</f>
        <v>0.006408</v>
      </c>
      <c r="N25" s="30" t="n">
        <f aca="false">IF(M25&gt;=0.005,0.9,IF(M25&lt;=Datos!$C$25/Datos!$C$28,0.65,0.65+(M25-Datos!$C$25/Datos!$C$28)*0.25/(0.005-Datos!$C$25/Datos!$C$28)))</f>
        <v>0.9</v>
      </c>
      <c r="O25" s="33" t="n">
        <f aca="false">MIN(N25*K25,$J$8)</f>
        <v>131.533063552105</v>
      </c>
      <c r="P25" s="33" t="n">
        <f aca="false">N25*L25</f>
        <v>37.8924799810168</v>
      </c>
    </row>
    <row r="26" customFormat="false" ht="15" hidden="false" customHeight="false" outlineLevel="0" collapsed="false">
      <c r="B26" s="22" t="n">
        <v>0.2</v>
      </c>
      <c r="C26" s="14" t="n">
        <f aca="false">B26*$C$8</f>
        <v>50</v>
      </c>
      <c r="D26" s="14" t="n">
        <f aca="false">MIN(Datos!$C$16*C26,$C$8)</f>
        <v>42.5</v>
      </c>
      <c r="E26" s="44" t="n">
        <f aca="false">IF(C26=0,0,0.003*(C26-$D$8)/C26)</f>
        <v>-0.00024</v>
      </c>
      <c r="F26" s="44" t="n">
        <f aca="false">IF(C26=0,0,0.003*(C26-$C$8/2)/C26)</f>
        <v>-0.0045</v>
      </c>
      <c r="G26" s="44" t="n">
        <f aca="false">IF(C26=0,0,0.003*(C26-$E$8)/C26)</f>
        <v>-0.00876</v>
      </c>
      <c r="H26" s="14" t="n">
        <f aca="false">MAX(-Datos!$C$25,MIN(Datos!$C$25,Datos!$C$28*E26))</f>
        <v>-48</v>
      </c>
      <c r="I26" s="14" t="n">
        <f aca="false">MAX(-Datos!$C$25,MIN(Datos!$C$25,Datos!$C$28*F26))</f>
        <v>-420</v>
      </c>
      <c r="J26" s="14" t="n">
        <f aca="false">MAX(-Datos!$C$25,MIN(Datos!$C$25,Datos!$C$28*G26))</f>
        <v>-420</v>
      </c>
      <c r="K26" s="33" t="n">
        <f aca="false">(0.85*Datos!$C$14*$B$8*D26+$F$8*(H26-IF($D$8&lt;D26,0.85*Datos!$C$14,0))+$H$8*(I26-IF($C$8/2&lt;D26,0.85*Datos!$C$14,0))+$G$8*(J26-IF($E$8&lt;D26,0.85*Datos!$C$14,0)))/1000</f>
        <v>37.587283679357</v>
      </c>
      <c r="L26" s="33" t="n">
        <f aca="false">(0.85*Datos!$C$14*$B$8*D26*($C$8/2-D26/2)+$F$8*(H26-IF($D$8&lt;D26,0.85*Datos!$C$14,0))*($C$8/2-$D$8)+$G$8*(J26-IF($E$8&lt;D26,0.85*Datos!$C$14,0))*($C$8/2-$E$8))/10^6</f>
        <v>34.0457000688265</v>
      </c>
      <c r="M26" s="44" t="n">
        <f aca="false">-G26</f>
        <v>0.00876</v>
      </c>
      <c r="N26" s="30" t="n">
        <f aca="false">IF(M26&gt;=0.005,0.9,IF(M26&lt;=Datos!$C$25/Datos!$C$28,0.65,0.65+(M26-Datos!$C$25/Datos!$C$28)*0.25/(0.005-Datos!$C$25/Datos!$C$28)))</f>
        <v>0.9</v>
      </c>
      <c r="O26" s="33" t="n">
        <f aca="false">MIN(N26*K26,$J$8)</f>
        <v>33.8285553114213</v>
      </c>
      <c r="P26" s="33" t="n">
        <f aca="false">N26*L26</f>
        <v>30.6411300619439</v>
      </c>
    </row>
    <row r="27" customFormat="false" ht="15" hidden="false" customHeight="false" outlineLevel="0" collapsed="false">
      <c r="B27" s="22" t="n">
        <v>0.15</v>
      </c>
      <c r="C27" s="14" t="n">
        <f aca="false">B27*$C$8</f>
        <v>37.5</v>
      </c>
      <c r="D27" s="14" t="n">
        <f aca="false">MIN(Datos!$C$16*C27,$C$8)</f>
        <v>31.875</v>
      </c>
      <c r="E27" s="44" t="n">
        <f aca="false">IF(C27=0,0,0.003*(C27-$D$8)/C27)</f>
        <v>-0.00132</v>
      </c>
      <c r="F27" s="44" t="n">
        <f aca="false">IF(C27=0,0,0.003*(C27-$C$8/2)/C27)</f>
        <v>-0.007</v>
      </c>
      <c r="G27" s="44" t="n">
        <f aca="false">IF(C27=0,0,0.003*(C27-$E$8)/C27)</f>
        <v>-0.01268</v>
      </c>
      <c r="H27" s="14" t="n">
        <f aca="false">MAX(-Datos!$C$25,MIN(Datos!$C$25,Datos!$C$28*E27))</f>
        <v>-264</v>
      </c>
      <c r="I27" s="14" t="n">
        <f aca="false">MAX(-Datos!$C$25,MIN(Datos!$C$25,Datos!$C$28*F27))</f>
        <v>-420</v>
      </c>
      <c r="J27" s="14" t="n">
        <f aca="false">MAX(-Datos!$C$25,MIN(Datos!$C$25,Datos!$C$28*G27))</f>
        <v>-420</v>
      </c>
      <c r="K27" s="33" t="n">
        <f aca="false">(0.85*Datos!$C$14*$B$8*D27+$F$8*(H27-IF($D$8&lt;D27,0.85*Datos!$C$14,0))+$H$8*(I27-IF($C$8/2&lt;D27,0.85*Datos!$C$14,0))+$G$8*(J27-IF($E$8&lt;D27,0.85*Datos!$C$14,0)))/1000</f>
        <v>-105.716782507094</v>
      </c>
      <c r="L27" s="33" t="n">
        <f aca="false">(0.85*Datos!$C$14*$B$8*D27*($C$8/2-D27/2)+$F$8*(H27-IF($D$8&lt;D27,0.85*Datos!$C$14,0))*($C$8/2-$D$8)+$G$8*(J27-IF($E$8&lt;D27,0.85*Datos!$C$14,0))*($C$8/2-$E$8))/10^6</f>
        <v>22.9221245531823</v>
      </c>
      <c r="M27" s="44" t="n">
        <f aca="false">-G27</f>
        <v>0.01268</v>
      </c>
      <c r="N27" s="30" t="n">
        <f aca="false">IF(M27&gt;=0.005,0.9,IF(M27&lt;=Datos!$C$25/Datos!$C$28,0.65,0.65+(M27-Datos!$C$25/Datos!$C$28)*0.25/(0.005-Datos!$C$25/Datos!$C$28)))</f>
        <v>0.9</v>
      </c>
      <c r="O27" s="33" t="n">
        <f aca="false">MIN(N27*K27,$J$8)</f>
        <v>-95.1451042563842</v>
      </c>
      <c r="P27" s="33" t="n">
        <f aca="false">N27*L27</f>
        <v>20.6299120978641</v>
      </c>
    </row>
    <row r="28" customFormat="false" ht="15" hidden="false" customHeight="false" outlineLevel="0" collapsed="false">
      <c r="B28" s="22" t="n">
        <v>0.1</v>
      </c>
      <c r="C28" s="14" t="n">
        <f aca="false">B28*$C$8</f>
        <v>25</v>
      </c>
      <c r="D28" s="14" t="n">
        <f aca="false">MIN(Datos!$C$16*C28,$C$8)</f>
        <v>21.25</v>
      </c>
      <c r="E28" s="44" t="n">
        <f aca="false">IF(C28=0,0,0.003*(C28-$D$8)/C28)</f>
        <v>-0.00348</v>
      </c>
      <c r="F28" s="44" t="n">
        <f aca="false">IF(C28=0,0,0.003*(C28-$C$8/2)/C28)</f>
        <v>-0.012</v>
      </c>
      <c r="G28" s="44" t="n">
        <f aca="false">IF(C28=0,0,0.003*(C28-$E$8)/C28)</f>
        <v>-0.02052</v>
      </c>
      <c r="H28" s="14" t="n">
        <f aca="false">MAX(-Datos!$C$25,MIN(Datos!$C$25,Datos!$C$28*E28))</f>
        <v>-420</v>
      </c>
      <c r="I28" s="14" t="n">
        <f aca="false">MAX(-Datos!$C$25,MIN(Datos!$C$25,Datos!$C$28*F28))</f>
        <v>-420</v>
      </c>
      <c r="J28" s="14" t="n">
        <f aca="false">MAX(-Datos!$C$25,MIN(Datos!$C$25,Datos!$C$28*G28))</f>
        <v>-420</v>
      </c>
      <c r="K28" s="33" t="n">
        <f aca="false">(0.85*Datos!$C$14*$B$8*D28+$F$8*(H28-IF($D$8&lt;D28,0.85*Datos!$C$14,0))+$H$8*(I28-IF($C$8/2&lt;D28,0.85*Datos!$C$14,0))+$G$8*(J28-IF($E$8&lt;D28,0.85*Datos!$C$14,0)))/1000</f>
        <v>-224.893417113975</v>
      </c>
      <c r="L28" s="33" t="n">
        <f aca="false">(0.85*Datos!$C$14*$B$8*D28*($C$8/2-D28/2)+$F$8*(H28-IF($D$8&lt;D28,0.85*Datos!$C$14,0))*($C$8/2-$D$8)+$G$8*(J28-IF($E$8&lt;D28,0.85*Datos!$C$14,0))*($C$8/2-$E$8))/10^6</f>
        <v>12.911865234375</v>
      </c>
      <c r="M28" s="44" t="n">
        <f aca="false">-G28</f>
        <v>0.02052</v>
      </c>
      <c r="N28" s="30" t="n">
        <f aca="false">IF(M28&gt;=0.005,0.9,IF(M28&lt;=Datos!$C$25/Datos!$C$28,0.65,0.65+(M28-Datos!$C$25/Datos!$C$28)*0.25/(0.005-Datos!$C$25/Datos!$C$28)))</f>
        <v>0.9</v>
      </c>
      <c r="O28" s="33" t="n">
        <f aca="false">MIN(N28*K28,$J$8)</f>
        <v>-202.404075402577</v>
      </c>
      <c r="P28" s="33" t="n">
        <f aca="false">N28*L28</f>
        <v>11.6206787109375</v>
      </c>
    </row>
    <row r="29" customFormat="false" ht="15" hidden="false" customHeight="false" outlineLevel="0" collapsed="false">
      <c r="B29" s="22" t="n">
        <v>0.05</v>
      </c>
      <c r="C29" s="14" t="n">
        <f aca="false">B29*$C$8</f>
        <v>12.5</v>
      </c>
      <c r="D29" s="14" t="n">
        <f aca="false">MIN(Datos!$C$16*C29,$C$8)</f>
        <v>10.625</v>
      </c>
      <c r="E29" s="44" t="n">
        <f aca="false">IF(C29=0,0,0.003*(C29-$D$8)/C29)</f>
        <v>-0.00996</v>
      </c>
      <c r="F29" s="44" t="n">
        <f aca="false">IF(C29=0,0,0.003*(C29-$C$8/2)/C29)</f>
        <v>-0.027</v>
      </c>
      <c r="G29" s="44" t="n">
        <f aca="false">IF(C29=0,0,0.003*(C29-$E$8)/C29)</f>
        <v>-0.04404</v>
      </c>
      <c r="H29" s="14" t="n">
        <f aca="false">MAX(-Datos!$C$25,MIN(Datos!$C$25,Datos!$C$28*E29))</f>
        <v>-420</v>
      </c>
      <c r="I29" s="14" t="n">
        <f aca="false">MAX(-Datos!$C$25,MIN(Datos!$C$25,Datos!$C$28*F29))</f>
        <v>-420</v>
      </c>
      <c r="J29" s="14" t="n">
        <f aca="false">MAX(-Datos!$C$25,MIN(Datos!$C$25,Datos!$C$28*G29))</f>
        <v>-420</v>
      </c>
      <c r="K29" s="33" t="n">
        <f aca="false">(0.85*Datos!$C$14*$B$8*D29+$F$8*(H29-IF($D$8&lt;D29,0.85*Datos!$C$14,0))+$H$8*(I29-IF($C$8/2&lt;D29,0.85*Datos!$C$14,0))+$G$8*(J29-IF($E$8&lt;D29,0.85*Datos!$C$14,0)))/1000</f>
        <v>-281.338729613975</v>
      </c>
      <c r="L29" s="33" t="n">
        <f aca="false">(0.85*Datos!$C$14*$B$8*D29*($C$8/2-D29/2)+$F$8*(H29-IF($D$8&lt;D29,0.85*Datos!$C$14,0))*($C$8/2-$D$8)+$G$8*(J29-IF($E$8&lt;D29,0.85*Datos!$C$14,0))*($C$8/2-$E$8))/10^6</f>
        <v>6.75579833984375</v>
      </c>
      <c r="M29" s="44" t="n">
        <f aca="false">-G29</f>
        <v>0.04404</v>
      </c>
      <c r="N29" s="30" t="n">
        <f aca="false">IF(M29&gt;=0.005,0.9,IF(M29&lt;=Datos!$C$25/Datos!$C$28,0.65,0.65+(M29-Datos!$C$25/Datos!$C$28)*0.25/(0.005-Datos!$C$25/Datos!$C$28)))</f>
        <v>0.9</v>
      </c>
      <c r="O29" s="33" t="n">
        <f aca="false">MIN(N29*K29,$J$8)</f>
        <v>-253.204856652577</v>
      </c>
      <c r="P29" s="33" t="n">
        <f aca="false">N29*L29</f>
        <v>6.08021850585938</v>
      </c>
    </row>
    <row r="30" customFormat="false" ht="15" hidden="false" customHeight="false" outlineLevel="0" collapsed="false">
      <c r="B30" s="22" t="n">
        <v>0.02</v>
      </c>
      <c r="C30" s="14" t="n">
        <f aca="false">B30*$C$8</f>
        <v>5</v>
      </c>
      <c r="D30" s="14" t="n">
        <f aca="false">MIN(Datos!$C$16*C30,$C$8)</f>
        <v>4.25</v>
      </c>
      <c r="E30" s="44" t="n">
        <f aca="false">IF(C30=0,0,0.003*(C30-$D$8)/C30)</f>
        <v>-0.0294</v>
      </c>
      <c r="F30" s="44" t="n">
        <f aca="false">IF(C30=0,0,0.003*(C30-$C$8/2)/C30)</f>
        <v>-0.072</v>
      </c>
      <c r="G30" s="44" t="n">
        <f aca="false">IF(C30=0,0,0.003*(C30-$E$8)/C30)</f>
        <v>-0.1146</v>
      </c>
      <c r="H30" s="14" t="n">
        <f aca="false">MAX(-Datos!$C$25,MIN(Datos!$C$25,Datos!$C$28*E30))</f>
        <v>-420</v>
      </c>
      <c r="I30" s="14" t="n">
        <f aca="false">MAX(-Datos!$C$25,MIN(Datos!$C$25,Datos!$C$28*F30))</f>
        <v>-420</v>
      </c>
      <c r="J30" s="14" t="n">
        <f aca="false">MAX(-Datos!$C$25,MIN(Datos!$C$25,Datos!$C$28*G30))</f>
        <v>-420</v>
      </c>
      <c r="K30" s="33" t="n">
        <f aca="false">(0.85*Datos!$C$14*$B$8*D30+$F$8*(H30-IF($D$8&lt;D30,0.85*Datos!$C$14,0))+$H$8*(I30-IF($C$8/2&lt;D30,0.85*Datos!$C$14,0))+$G$8*(J30-IF($E$8&lt;D30,0.85*Datos!$C$14,0)))/1000</f>
        <v>-315.205917113975</v>
      </c>
      <c r="L30" s="33" t="n">
        <f aca="false">(0.85*Datos!$C$14*$B$8*D30*($C$8/2-D30/2)+$F$8*(H30-IF($D$8&lt;D30,0.85*Datos!$C$14,0))*($C$8/2-$D$8)+$G$8*(J30-IF($E$8&lt;D30,0.85*Datos!$C$14,0))*($C$8/2-$E$8))/10^6</f>
        <v>2.774287109375</v>
      </c>
      <c r="M30" s="44" t="n">
        <f aca="false">-G30</f>
        <v>0.1146</v>
      </c>
      <c r="N30" s="30" t="n">
        <f aca="false">IF(M30&gt;=0.005,0.9,IF(M30&lt;=Datos!$C$25/Datos!$C$28,0.65,0.65+(M30-Datos!$C$25/Datos!$C$28)*0.25/(0.005-Datos!$C$25/Datos!$C$28)))</f>
        <v>0.9</v>
      </c>
      <c r="O30" s="33" t="n">
        <f aca="false">MIN(N30*K30,$J$8)</f>
        <v>-283.685325402577</v>
      </c>
      <c r="P30" s="33" t="n">
        <f aca="false">N30*L30</f>
        <v>2.4968583984375</v>
      </c>
    </row>
    <row r="32" customFormat="false" ht="15" hidden="false" customHeight="false" outlineLevel="0" collapsed="false">
      <c r="B32" s="45" t="s">
        <v>424</v>
      </c>
      <c r="P32" s="39" t="n">
        <f aca="false">IF(Columnas!$H$16="",0,IF(Columnas!$K$6&gt;$J$8,0,IF(Columnas!$K$6&lt;=$O$30,$P$30,IF(INDEX($O$10:$O$30,SUMPRODUCT(--($O$10:$O$30&gt;=Columnas!$K$6)))=INDEX($O$10:$O$30,SUMPRODUCT(--($O$10:$O$30&gt;=Columnas!$K$6))+1),INDEX($P$10:$P$30,SUMPRODUCT(--($O$10:$O$30&gt;=Columnas!$K$6))),INDEX($P$10:$P$30,SUMPRODUCT(--($O$10:$O$30&gt;=Columnas!$K$6)))+(INDEX($P$10:$P$30,SUMPRODUCT(--($O$10:$O$30&gt;=Columnas!$K$6))+1)-INDEX($P$10:$P$30,SUMPRODUCT(--($O$10:$O$30&gt;=Columnas!$K$6))))*(INDEX($O$10:$O$30,SUMPRODUCT(--($O$10:$O$30&gt;=Columnas!$K$6)))-Columnas!$K$6)/(INDEX($O$10:$O$30,SUMPRODUCT(--($O$10:$O$30&gt;=Columnas!$K$6)))-INDEX($O$10:$O$30,SUMPRODUCT(--($O$10:$O$30&gt;=Columnas!$K$6))+1))))))</f>
        <v>38.1049519990962</v>
      </c>
    </row>
    <row r="33" customFormat="false" ht="15" hidden="false" customHeight="false" outlineLevel="0" collapsed="false">
      <c r="B33" s="45" t="s">
        <v>425</v>
      </c>
      <c r="O33" s="33" t="n">
        <f aca="false">Columnas!$L$6</f>
        <v>15</v>
      </c>
      <c r="P33" s="33" t="n">
        <f aca="false">Columnas!$K$6</f>
        <v>134.9745</v>
      </c>
    </row>
    <row r="36" customFormat="false" ht="15" hidden="false" customHeight="false" outlineLevel="0" collapsed="false">
      <c r="B36" s="42" t="str">
        <f aca="false">IF(Columnas!B7="","(columna sin cargar)","Columna "&amp;Columnas!B7&amp;"  –  "&amp;Columnas!C7&amp;" × "&amp;Columnas!D7&amp;" cm")</f>
        <v>Columna C2  –  30 × 30 cm</v>
      </c>
      <c r="C36" s="42"/>
      <c r="D36" s="42"/>
      <c r="E36" s="42"/>
      <c r="F36" s="42"/>
      <c r="G36" s="42"/>
      <c r="H36" s="42"/>
      <c r="I36" s="42"/>
      <c r="J36" s="42"/>
      <c r="K36" s="42"/>
      <c r="L36" s="42"/>
      <c r="M36" s="42"/>
      <c r="N36" s="42"/>
      <c r="O36" s="42"/>
      <c r="P36" s="42"/>
    </row>
    <row r="37" customFormat="false" ht="27.75" hidden="false" customHeight="true" outlineLevel="0" collapsed="false">
      <c r="B37" s="11" t="s">
        <v>401</v>
      </c>
      <c r="C37" s="11" t="s">
        <v>402</v>
      </c>
      <c r="D37" s="11" t="s">
        <v>403</v>
      </c>
      <c r="E37" s="11" t="s">
        <v>404</v>
      </c>
      <c r="F37" s="11" t="s">
        <v>405</v>
      </c>
      <c r="G37" s="11" t="s">
        <v>406</v>
      </c>
      <c r="H37" s="11" t="s">
        <v>407</v>
      </c>
      <c r="I37" s="11" t="s">
        <v>408</v>
      </c>
      <c r="J37" s="11" t="s">
        <v>389</v>
      </c>
      <c r="K37" s="43" t="s">
        <v>409</v>
      </c>
    </row>
    <row r="38" customFormat="false" ht="15" hidden="false" customHeight="false" outlineLevel="0" collapsed="false">
      <c r="B38" s="33" t="n">
        <f aca="false">IF(Columnas!$H$17="",0,Columnas!$C$7*10)</f>
        <v>300</v>
      </c>
      <c r="C38" s="33" t="n">
        <f aca="false">IF(Columnas!$H$17="",0,Columnas!$D$7*10)</f>
        <v>300</v>
      </c>
      <c r="D38" s="33" t="n">
        <f aca="false">IF(Columnas!$H$17="",0,Columnas!$J$17*10)</f>
        <v>54</v>
      </c>
      <c r="E38" s="33" t="n">
        <f aca="false">C38-D38</f>
        <v>246</v>
      </c>
      <c r="F38" s="33" t="n">
        <f aca="false">IF(Columnas!$H$17="",0,Columnas!$D$17*(PI()*Columnas!$E$17^2/4))</f>
        <v>402.123859659494</v>
      </c>
      <c r="G38" s="33" t="n">
        <f aca="false">F38</f>
        <v>402.123859659494</v>
      </c>
      <c r="H38" s="33" t="n">
        <f aca="false">IF(Columnas!$H$17="",0,(Columnas!$C$17-2*Columnas!$D$17)*(PI()*Columnas!$E$17^2/4))</f>
        <v>402.123859659494</v>
      </c>
      <c r="I38" s="33" t="n">
        <f aca="false">(0.85*Datos!$C$14*(B38*C38-(F38+G38+H38))+Datos!$C$25*(F38+G38+H38))/1000</f>
        <v>2393.54066711767</v>
      </c>
      <c r="J38" s="33" t="n">
        <f aca="false">0.8*0.65*I38</f>
        <v>1244.64114690119</v>
      </c>
      <c r="K38" s="33" t="n">
        <f aca="false">J38</f>
        <v>1244.64114690119</v>
      </c>
    </row>
    <row r="39" customFormat="false" ht="27.75" hidden="false" customHeight="true" outlineLevel="0" collapsed="false">
      <c r="B39" s="11" t="s">
        <v>410</v>
      </c>
      <c r="C39" s="11" t="s">
        <v>411</v>
      </c>
      <c r="D39" s="11" t="s">
        <v>412</v>
      </c>
      <c r="E39" s="11" t="s">
        <v>413</v>
      </c>
      <c r="F39" s="11" t="s">
        <v>414</v>
      </c>
      <c r="G39" s="11" t="s">
        <v>415</v>
      </c>
      <c r="H39" s="11" t="s">
        <v>416</v>
      </c>
      <c r="I39" s="11" t="s">
        <v>417</v>
      </c>
      <c r="J39" s="11" t="s">
        <v>418</v>
      </c>
      <c r="K39" s="11" t="s">
        <v>419</v>
      </c>
      <c r="L39" s="11" t="s">
        <v>420</v>
      </c>
      <c r="M39" s="11" t="s">
        <v>421</v>
      </c>
      <c r="N39" s="11" t="s">
        <v>422</v>
      </c>
      <c r="O39" s="11" t="s">
        <v>423</v>
      </c>
      <c r="P39" s="11" t="s">
        <v>347</v>
      </c>
    </row>
    <row r="40" customFormat="false" ht="15" hidden="false" customHeight="false" outlineLevel="0" collapsed="false">
      <c r="B40" s="22" t="n">
        <v>100</v>
      </c>
      <c r="C40" s="14" t="n">
        <f aca="false">B40*$C$38</f>
        <v>30000</v>
      </c>
      <c r="D40" s="14" t="n">
        <f aca="false">MIN(Datos!$C$16*C40,$C$38)</f>
        <v>300</v>
      </c>
      <c r="E40" s="44" t="n">
        <f aca="false">IF(C40=0,0,0.003*(C40-$D$38)/C40)</f>
        <v>0.0029946</v>
      </c>
      <c r="F40" s="44" t="n">
        <f aca="false">IF(C40=0,0,0.003*(C40-$C$38/2)/C40)</f>
        <v>0.002985</v>
      </c>
      <c r="G40" s="44" t="n">
        <f aca="false">IF(C40=0,0,0.003*(C40-$E$38)/C40)</f>
        <v>0.0029754</v>
      </c>
      <c r="H40" s="14" t="n">
        <f aca="false">MAX(-Datos!$C$25,MIN(Datos!$C$25,Datos!$C$28*E40))</f>
        <v>420</v>
      </c>
      <c r="I40" s="14" t="n">
        <f aca="false">MAX(-Datos!$C$25,MIN(Datos!$C$25,Datos!$C$28*F40))</f>
        <v>420</v>
      </c>
      <c r="J40" s="14" t="n">
        <f aca="false">MAX(-Datos!$C$25,MIN(Datos!$C$25,Datos!$C$28*G40))</f>
        <v>420</v>
      </c>
      <c r="K40" s="33" t="n">
        <f aca="false">(0.85*Datos!$C$14*$B$38*D40+$F$38*(H40-IF($D$38&lt;D40,0.85*Datos!$C$14,0))+$H$38*(I40-IF($C$38/2&lt;D40,0.85*Datos!$C$14,0))+$G$38*(J40-IF($E$38&lt;D40,0.85*Datos!$C$14,0)))/1000</f>
        <v>2393.54066711767</v>
      </c>
      <c r="L40" s="33" t="n">
        <f aca="false">(0.85*Datos!$C$14*$B$38*D40*($C$38/2-D40/2)+$F$38*(H40-IF($D$38&lt;D40,0.85*Datos!$C$14,0))*($C$38/2-$D$38)+$G$38*(J40-IF($E$38&lt;D40,0.85*Datos!$C$14,0))*($C$38/2-$E$38))/10^6</f>
        <v>0</v>
      </c>
      <c r="M40" s="44" t="n">
        <f aca="false">-G40</f>
        <v>-0.0029754</v>
      </c>
      <c r="N40" s="30" t="n">
        <f aca="false">IF(M40&gt;=0.005,0.9,IF(M40&lt;=Datos!$C$25/Datos!$C$28,0.65,0.65+(M40-Datos!$C$25/Datos!$C$28)*0.25/(0.005-Datos!$C$25/Datos!$C$28)))</f>
        <v>0.65</v>
      </c>
      <c r="O40" s="33" t="n">
        <f aca="false">MIN(N40*K40,$J$38)</f>
        <v>1244.64114690119</v>
      </c>
      <c r="P40" s="33" t="n">
        <f aca="false">N40*L40</f>
        <v>0</v>
      </c>
    </row>
    <row r="41" customFormat="false" ht="15" hidden="false" customHeight="false" outlineLevel="0" collapsed="false">
      <c r="B41" s="22" t="n">
        <v>3</v>
      </c>
      <c r="C41" s="14" t="n">
        <f aca="false">B41*$C$38</f>
        <v>900</v>
      </c>
      <c r="D41" s="14" t="n">
        <f aca="false">MIN(Datos!$C$16*C41,$C$38)</f>
        <v>300</v>
      </c>
      <c r="E41" s="44" t="n">
        <f aca="false">IF(C41=0,0,0.003*(C41-$D$38)/C41)</f>
        <v>0.00282</v>
      </c>
      <c r="F41" s="44" t="n">
        <f aca="false">IF(C41=0,0,0.003*(C41-$C$38/2)/C41)</f>
        <v>0.0025</v>
      </c>
      <c r="G41" s="44" t="n">
        <f aca="false">IF(C41=0,0,0.003*(C41-$E$38)/C41)</f>
        <v>0.00218</v>
      </c>
      <c r="H41" s="14" t="n">
        <f aca="false">MAX(-Datos!$C$25,MIN(Datos!$C$25,Datos!$C$28*E41))</f>
        <v>420</v>
      </c>
      <c r="I41" s="14" t="n">
        <f aca="false">MAX(-Datos!$C$25,MIN(Datos!$C$25,Datos!$C$28*F41))</f>
        <v>420</v>
      </c>
      <c r="J41" s="14" t="n">
        <f aca="false">MAX(-Datos!$C$25,MIN(Datos!$C$25,Datos!$C$28*G41))</f>
        <v>420</v>
      </c>
      <c r="K41" s="33" t="n">
        <f aca="false">(0.85*Datos!$C$14*$B$38*D41+$F$38*(H41-IF($D$38&lt;D41,0.85*Datos!$C$14,0))+$H$38*(I41-IF($C$38/2&lt;D41,0.85*Datos!$C$14,0))+$G$38*(J41-IF($E$38&lt;D41,0.85*Datos!$C$14,0)))/1000</f>
        <v>2393.54066711767</v>
      </c>
      <c r="L41" s="33" t="n">
        <f aca="false">(0.85*Datos!$C$14*$B$38*D41*($C$38/2-D41/2)+$F$38*(H41-IF($D$38&lt;D41,0.85*Datos!$C$14,0))*($C$38/2-$D$38)+$G$38*(J41-IF($E$38&lt;D41,0.85*Datos!$C$14,0))*($C$38/2-$E$38))/10^6</f>
        <v>0</v>
      </c>
      <c r="M41" s="44" t="n">
        <f aca="false">-G41</f>
        <v>-0.00218</v>
      </c>
      <c r="N41" s="30" t="n">
        <f aca="false">IF(M41&gt;=0.005,0.9,IF(M41&lt;=Datos!$C$25/Datos!$C$28,0.65,0.65+(M41-Datos!$C$25/Datos!$C$28)*0.25/(0.005-Datos!$C$25/Datos!$C$28)))</f>
        <v>0.65</v>
      </c>
      <c r="O41" s="33" t="n">
        <f aca="false">MIN(N41*K41,$J$38)</f>
        <v>1244.64114690119</v>
      </c>
      <c r="P41" s="33" t="n">
        <f aca="false">N41*L41</f>
        <v>0</v>
      </c>
    </row>
    <row r="42" customFormat="false" ht="15" hidden="false" customHeight="false" outlineLevel="0" collapsed="false">
      <c r="B42" s="22" t="n">
        <v>2</v>
      </c>
      <c r="C42" s="14" t="n">
        <f aca="false">B42*$C$38</f>
        <v>600</v>
      </c>
      <c r="D42" s="14" t="n">
        <f aca="false">MIN(Datos!$C$16*C42,$C$38)</f>
        <v>300</v>
      </c>
      <c r="E42" s="44" t="n">
        <f aca="false">IF(C42=0,0,0.003*(C42-$D$38)/C42)</f>
        <v>0.00273</v>
      </c>
      <c r="F42" s="44" t="n">
        <f aca="false">IF(C42=0,0,0.003*(C42-$C$38/2)/C42)</f>
        <v>0.00225</v>
      </c>
      <c r="G42" s="44" t="n">
        <f aca="false">IF(C42=0,0,0.003*(C42-$E$38)/C42)</f>
        <v>0.00177</v>
      </c>
      <c r="H42" s="14" t="n">
        <f aca="false">MAX(-Datos!$C$25,MIN(Datos!$C$25,Datos!$C$28*E42))</f>
        <v>420</v>
      </c>
      <c r="I42" s="14" t="n">
        <f aca="false">MAX(-Datos!$C$25,MIN(Datos!$C$25,Datos!$C$28*F42))</f>
        <v>420</v>
      </c>
      <c r="J42" s="14" t="n">
        <f aca="false">MAX(-Datos!$C$25,MIN(Datos!$C$25,Datos!$C$28*G42))</f>
        <v>354</v>
      </c>
      <c r="K42" s="33" t="n">
        <f aca="false">(0.85*Datos!$C$14*$B$38*D42+$F$38*(H42-IF($D$38&lt;D42,0.85*Datos!$C$14,0))+$H$38*(I42-IF($C$38/2&lt;D42,0.85*Datos!$C$14,0))+$G$38*(J42-IF($E$38&lt;D42,0.85*Datos!$C$14,0)))/1000</f>
        <v>2367.00049238014</v>
      </c>
      <c r="L42" s="33" t="n">
        <f aca="false">(0.85*Datos!$C$14*$B$38*D42*($C$38/2-D42/2)+$F$38*(H42-IF($D$38&lt;D42,0.85*Datos!$C$14,0))*($C$38/2-$D$38)+$G$38*(J42-IF($E$38&lt;D42,0.85*Datos!$C$14,0))*($C$38/2-$E$38))/10^6</f>
        <v>2.54785677480255</v>
      </c>
      <c r="M42" s="44" t="n">
        <f aca="false">-G42</f>
        <v>-0.00177</v>
      </c>
      <c r="N42" s="30" t="n">
        <f aca="false">IF(M42&gt;=0.005,0.9,IF(M42&lt;=Datos!$C$25/Datos!$C$28,0.65,0.65+(M42-Datos!$C$25/Datos!$C$28)*0.25/(0.005-Datos!$C$25/Datos!$C$28)))</f>
        <v>0.65</v>
      </c>
      <c r="O42" s="33" t="n">
        <f aca="false">MIN(N42*K42,$J$38)</f>
        <v>1244.64114690119</v>
      </c>
      <c r="P42" s="33" t="n">
        <f aca="false">N42*L42</f>
        <v>1.65610690362166</v>
      </c>
    </row>
    <row r="43" customFormat="false" ht="15" hidden="false" customHeight="false" outlineLevel="0" collapsed="false">
      <c r="B43" s="22" t="n">
        <v>1.5</v>
      </c>
      <c r="C43" s="14" t="n">
        <f aca="false">B43*$C$38</f>
        <v>450</v>
      </c>
      <c r="D43" s="14" t="n">
        <f aca="false">MIN(Datos!$C$16*C43,$C$38)</f>
        <v>300</v>
      </c>
      <c r="E43" s="44" t="n">
        <f aca="false">IF(C43=0,0,0.003*(C43-$D$38)/C43)</f>
        <v>0.00264</v>
      </c>
      <c r="F43" s="44" t="n">
        <f aca="false">IF(C43=0,0,0.003*(C43-$C$38/2)/C43)</f>
        <v>0.002</v>
      </c>
      <c r="G43" s="44" t="n">
        <f aca="false">IF(C43=0,0,0.003*(C43-$E$38)/C43)</f>
        <v>0.00136</v>
      </c>
      <c r="H43" s="14" t="n">
        <f aca="false">MAX(-Datos!$C$25,MIN(Datos!$C$25,Datos!$C$28*E43))</f>
        <v>420</v>
      </c>
      <c r="I43" s="14" t="n">
        <f aca="false">MAX(-Datos!$C$25,MIN(Datos!$C$25,Datos!$C$28*F43))</f>
        <v>400</v>
      </c>
      <c r="J43" s="14" t="n">
        <f aca="false">MAX(-Datos!$C$25,MIN(Datos!$C$25,Datos!$C$28*G43))</f>
        <v>272</v>
      </c>
      <c r="K43" s="33" t="n">
        <f aca="false">(0.85*Datos!$C$14*$B$38*D43+$F$38*(H43-IF($D$38&lt;D43,0.85*Datos!$C$14,0))+$H$38*(I43-IF($C$38/2&lt;D43,0.85*Datos!$C$14,0))+$G$38*(J43-IF($E$38&lt;D43,0.85*Datos!$C$14,0)))/1000</f>
        <v>2325.98385869487</v>
      </c>
      <c r="L43" s="33" t="n">
        <f aca="false">(0.85*Datos!$C$14*$B$38*D43*($C$38/2-D43/2)+$F$38*(H43-IF($D$38&lt;D43,0.85*Datos!$C$14,0))*($C$38/2-$D$38)+$G$38*(J43-IF($E$38&lt;D43,0.85*Datos!$C$14,0))*($C$38/2-$E$38))/10^6</f>
        <v>5.71337579804209</v>
      </c>
      <c r="M43" s="44" t="n">
        <f aca="false">-G43</f>
        <v>-0.00136</v>
      </c>
      <c r="N43" s="30" t="n">
        <f aca="false">IF(M43&gt;=0.005,0.9,IF(M43&lt;=Datos!$C$25/Datos!$C$28,0.65,0.65+(M43-Datos!$C$25/Datos!$C$28)*0.25/(0.005-Datos!$C$25/Datos!$C$28)))</f>
        <v>0.65</v>
      </c>
      <c r="O43" s="33" t="n">
        <f aca="false">MIN(N43*K43,$J$38)</f>
        <v>1244.64114690119</v>
      </c>
      <c r="P43" s="33" t="n">
        <f aca="false">N43*L43</f>
        <v>3.71369426872736</v>
      </c>
    </row>
    <row r="44" customFormat="false" ht="15" hidden="false" customHeight="false" outlineLevel="0" collapsed="false">
      <c r="B44" s="22" t="n">
        <v>1.2</v>
      </c>
      <c r="C44" s="14" t="n">
        <f aca="false">B44*$C$38</f>
        <v>360</v>
      </c>
      <c r="D44" s="14" t="n">
        <f aca="false">MIN(Datos!$C$16*C44,$C$38)</f>
        <v>300</v>
      </c>
      <c r="E44" s="44" t="n">
        <f aca="false">IF(C44=0,0,0.003*(C44-$D$38)/C44)</f>
        <v>0.00255</v>
      </c>
      <c r="F44" s="44" t="n">
        <f aca="false">IF(C44=0,0,0.003*(C44-$C$38/2)/C44)</f>
        <v>0.00175</v>
      </c>
      <c r="G44" s="44" t="n">
        <f aca="false">IF(C44=0,0,0.003*(C44-$E$38)/C44)</f>
        <v>0.00095</v>
      </c>
      <c r="H44" s="14" t="n">
        <f aca="false">MAX(-Datos!$C$25,MIN(Datos!$C$25,Datos!$C$28*E44))</f>
        <v>420</v>
      </c>
      <c r="I44" s="14" t="n">
        <f aca="false">MAX(-Datos!$C$25,MIN(Datos!$C$25,Datos!$C$28*F44))</f>
        <v>350</v>
      </c>
      <c r="J44" s="14" t="n">
        <f aca="false">MAX(-Datos!$C$25,MIN(Datos!$C$25,Datos!$C$28*G44))</f>
        <v>190</v>
      </c>
      <c r="K44" s="33" t="n">
        <f aca="false">(0.85*Datos!$C$14*$B$38*D44+$F$38*(H44-IF($D$38&lt;D44,0.85*Datos!$C$14,0))+$H$38*(I44-IF($C$38/2&lt;D44,0.85*Datos!$C$14,0))+$G$38*(J44-IF($E$38&lt;D44,0.85*Datos!$C$14,0)))/1000</f>
        <v>2272.90350921982</v>
      </c>
      <c r="L44" s="33" t="n">
        <f aca="false">(0.85*Datos!$C$14*$B$38*D44*($C$38/2-D44/2)+$F$38*(H44-IF($D$38&lt;D44,0.85*Datos!$C$14,0))*($C$38/2-$D$38)+$G$38*(J44-IF($E$38&lt;D44,0.85*Datos!$C$14,0))*($C$38/2-$E$38))/10^6</f>
        <v>8.87889482128162</v>
      </c>
      <c r="M44" s="44" t="n">
        <f aca="false">-G44</f>
        <v>-0.00095</v>
      </c>
      <c r="N44" s="30" t="n">
        <f aca="false">IF(M44&gt;=0.005,0.9,IF(M44&lt;=Datos!$C$25/Datos!$C$28,0.65,0.65+(M44-Datos!$C$25/Datos!$C$28)*0.25/(0.005-Datos!$C$25/Datos!$C$28)))</f>
        <v>0.65</v>
      </c>
      <c r="O44" s="33" t="n">
        <f aca="false">MIN(N44*K44,$J$38)</f>
        <v>1244.64114690119</v>
      </c>
      <c r="P44" s="33" t="n">
        <f aca="false">N44*L44</f>
        <v>5.77128163383305</v>
      </c>
    </row>
    <row r="45" customFormat="false" ht="15" hidden="false" customHeight="false" outlineLevel="0" collapsed="false">
      <c r="B45" s="22" t="n">
        <v>1</v>
      </c>
      <c r="C45" s="14" t="n">
        <f aca="false">B45*$C$38</f>
        <v>300</v>
      </c>
      <c r="D45" s="14" t="n">
        <f aca="false">MIN(Datos!$C$16*C45,$C$38)</f>
        <v>255</v>
      </c>
      <c r="E45" s="44" t="n">
        <f aca="false">IF(C45=0,0,0.003*(C45-$D$38)/C45)</f>
        <v>0.00246</v>
      </c>
      <c r="F45" s="44" t="n">
        <f aca="false">IF(C45=0,0,0.003*(C45-$C$38/2)/C45)</f>
        <v>0.0015</v>
      </c>
      <c r="G45" s="44" t="n">
        <f aca="false">IF(C45=0,0,0.003*(C45-$E$38)/C45)</f>
        <v>0.00054</v>
      </c>
      <c r="H45" s="14" t="n">
        <f aca="false">MAX(-Datos!$C$25,MIN(Datos!$C$25,Datos!$C$28*E45))</f>
        <v>420</v>
      </c>
      <c r="I45" s="14" t="n">
        <f aca="false">MAX(-Datos!$C$25,MIN(Datos!$C$25,Datos!$C$28*F45))</f>
        <v>300</v>
      </c>
      <c r="J45" s="14" t="n">
        <f aca="false">MAX(-Datos!$C$25,MIN(Datos!$C$25,Datos!$C$28*G45))</f>
        <v>108</v>
      </c>
      <c r="K45" s="33" t="n">
        <f aca="false">(0.85*Datos!$C$14*$B$38*D45+$F$38*(H45-IF($D$38&lt;D45,0.85*Datos!$C$14,0))+$H$38*(I45-IF($C$38/2&lt;D45,0.85*Datos!$C$14,0))+$G$38*(J45-IF($E$38&lt;D45,0.85*Datos!$C$14,0)))/1000</f>
        <v>1932.94815974477</v>
      </c>
      <c r="L45" s="33" t="n">
        <f aca="false">(0.85*Datos!$C$14*$B$38*D45*($C$38/2-D45/2)+$F$38*(H45-IF($D$38&lt;D45,0.85*Datos!$C$14,0))*($C$38/2-$D$38)+$G$38*(J45-IF($E$38&lt;D45,0.85*Datos!$C$14,0))*($C$38/2-$E$38))/10^6</f>
        <v>48.6209763445212</v>
      </c>
      <c r="M45" s="44" t="n">
        <f aca="false">-G45</f>
        <v>-0.00054</v>
      </c>
      <c r="N45" s="30" t="n">
        <f aca="false">IF(M45&gt;=0.005,0.9,IF(M45&lt;=Datos!$C$25/Datos!$C$28,0.65,0.65+(M45-Datos!$C$25/Datos!$C$28)*0.25/(0.005-Datos!$C$25/Datos!$C$28)))</f>
        <v>0.65</v>
      </c>
      <c r="O45" s="33" t="n">
        <f aca="false">MIN(N45*K45,$J$38)</f>
        <v>1244.64114690119</v>
      </c>
      <c r="P45" s="33" t="n">
        <f aca="false">N45*L45</f>
        <v>31.6036346239387</v>
      </c>
    </row>
    <row r="46" customFormat="false" ht="15" hidden="false" customHeight="false" outlineLevel="0" collapsed="false">
      <c r="B46" s="22" t="n">
        <v>0.9</v>
      </c>
      <c r="C46" s="14" t="n">
        <f aca="false">B46*$C$38</f>
        <v>270</v>
      </c>
      <c r="D46" s="14" t="n">
        <f aca="false">MIN(Datos!$C$16*C46,$C$38)</f>
        <v>229.5</v>
      </c>
      <c r="E46" s="44" t="n">
        <f aca="false">IF(C46=0,0,0.003*(C46-$D$38)/C46)</f>
        <v>0.0024</v>
      </c>
      <c r="F46" s="44" t="n">
        <f aca="false">IF(C46=0,0,0.003*(C46-$C$38/2)/C46)</f>
        <v>0.00133333333333333</v>
      </c>
      <c r="G46" s="44" t="n">
        <f aca="false">IF(C46=0,0,0.003*(C46-$E$38)/C46)</f>
        <v>0.000266666666666667</v>
      </c>
      <c r="H46" s="14" t="n">
        <f aca="false">MAX(-Datos!$C$25,MIN(Datos!$C$25,Datos!$C$28*E46))</f>
        <v>420</v>
      </c>
      <c r="I46" s="14" t="n">
        <f aca="false">MAX(-Datos!$C$25,MIN(Datos!$C$25,Datos!$C$28*F46))</f>
        <v>266.666666666667</v>
      </c>
      <c r="J46" s="14" t="n">
        <f aca="false">MAX(-Datos!$C$25,MIN(Datos!$C$25,Datos!$C$28*G46))</f>
        <v>53.3333333333333</v>
      </c>
      <c r="K46" s="33" t="n">
        <f aca="false">(0.85*Datos!$C$14*$B$38*D46+$F$38*(H46-IF($D$38&lt;D46,0.85*Datos!$C$14,0))+$H$38*(I46-IF($C$38/2&lt;D46,0.85*Datos!$C$14,0))+$G$38*(J46-IF($E$38&lt;D46,0.85*Datos!$C$14,0)))/1000</f>
        <v>1743.5438921125</v>
      </c>
      <c r="L46" s="33" t="n">
        <f aca="false">(0.85*Datos!$C$14*$B$38*D46*($C$38/2-D46/2)+$F$38*(H46-IF($D$38&lt;D46,0.85*Datos!$C$14,0))*($C$38/2-$D$38)+$G$38*(J46-IF($E$38&lt;D46,0.85*Datos!$C$14,0))*($C$38/2-$E$38))/10^6</f>
        <v>64.9073803113088</v>
      </c>
      <c r="M46" s="44" t="n">
        <f aca="false">-G46</f>
        <v>-0.000266666666666667</v>
      </c>
      <c r="N46" s="30" t="n">
        <f aca="false">IF(M46&gt;=0.005,0.9,IF(M46&lt;=Datos!$C$25/Datos!$C$28,0.65,0.65+(M46-Datos!$C$25/Datos!$C$28)*0.25/(0.005-Datos!$C$25/Datos!$C$28)))</f>
        <v>0.65</v>
      </c>
      <c r="O46" s="33" t="n">
        <f aca="false">MIN(N46*K46,$J$38)</f>
        <v>1133.30352987312</v>
      </c>
      <c r="P46" s="33" t="n">
        <f aca="false">N46*L46</f>
        <v>42.1897972023507</v>
      </c>
    </row>
    <row r="47" customFormat="false" ht="15" hidden="false" customHeight="false" outlineLevel="0" collapsed="false">
      <c r="B47" s="22" t="n">
        <v>0.8</v>
      </c>
      <c r="C47" s="14" t="n">
        <f aca="false">B47*$C$38</f>
        <v>240</v>
      </c>
      <c r="D47" s="14" t="n">
        <f aca="false">MIN(Datos!$C$16*C47,$C$38)</f>
        <v>204</v>
      </c>
      <c r="E47" s="44" t="n">
        <f aca="false">IF(C47=0,0,0.003*(C47-$D$38)/C47)</f>
        <v>0.002325</v>
      </c>
      <c r="F47" s="44" t="n">
        <f aca="false">IF(C47=0,0,0.003*(C47-$C$38/2)/C47)</f>
        <v>0.001125</v>
      </c>
      <c r="G47" s="44" t="n">
        <f aca="false">IF(C47=0,0,0.003*(C47-$E$38)/C47)</f>
        <v>-7.5E-005</v>
      </c>
      <c r="H47" s="14" t="n">
        <f aca="false">MAX(-Datos!$C$25,MIN(Datos!$C$25,Datos!$C$28*E47))</f>
        <v>420</v>
      </c>
      <c r="I47" s="14" t="n">
        <f aca="false">MAX(-Datos!$C$25,MIN(Datos!$C$25,Datos!$C$28*F47))</f>
        <v>225</v>
      </c>
      <c r="J47" s="14" t="n">
        <f aca="false">MAX(-Datos!$C$25,MIN(Datos!$C$25,Datos!$C$28*G47))</f>
        <v>-15</v>
      </c>
      <c r="K47" s="33" t="n">
        <f aca="false">(0.85*Datos!$C$14*$B$38*D47+$F$38*(H47-IF($D$38&lt;D47,0.85*Datos!$C$14,0))+$H$38*(I47-IF($C$38/2&lt;D47,0.85*Datos!$C$14,0))+$G$38*(J47-IF($E$38&lt;D47,0.85*Datos!$C$14,0)))/1000</f>
        <v>1536.74776754995</v>
      </c>
      <c r="L47" s="33" t="n">
        <f aca="false">(0.85*Datos!$C$14*$B$38*D47*($C$38/2-D47/2)+$F$38*(H47-IF($D$38&lt;D47,0.85*Datos!$C$14,0))*($C$38/2-$D$38)+$G$38*(J47-IF($E$38&lt;D47,0.85*Datos!$C$14,0))*($C$38/2-$E$38))/10^6</f>
        <v>78.3963597056751</v>
      </c>
      <c r="M47" s="44" t="n">
        <f aca="false">-G47</f>
        <v>7.5E-005</v>
      </c>
      <c r="N47" s="30" t="n">
        <f aca="false">IF(M47&gt;=0.005,0.9,IF(M47&lt;=Datos!$C$25/Datos!$C$28,0.65,0.65+(M47-Datos!$C$25/Datos!$C$28)*0.25/(0.005-Datos!$C$25/Datos!$C$28)))</f>
        <v>0.65</v>
      </c>
      <c r="O47" s="33" t="n">
        <f aca="false">MIN(N47*K47,$J$38)</f>
        <v>998.886048907469</v>
      </c>
      <c r="P47" s="33" t="n">
        <f aca="false">N47*L47</f>
        <v>50.9576338086888</v>
      </c>
    </row>
    <row r="48" customFormat="false" ht="15" hidden="false" customHeight="false" outlineLevel="0" collapsed="false">
      <c r="B48" s="22" t="n">
        <v>0.7</v>
      </c>
      <c r="C48" s="14" t="n">
        <f aca="false">B48*$C$38</f>
        <v>210</v>
      </c>
      <c r="D48" s="14" t="n">
        <f aca="false">MIN(Datos!$C$16*C48,$C$38)</f>
        <v>178.5</v>
      </c>
      <c r="E48" s="44" t="n">
        <f aca="false">IF(C48=0,0,0.003*(C48-$D$38)/C48)</f>
        <v>0.00222857142857143</v>
      </c>
      <c r="F48" s="44" t="n">
        <f aca="false">IF(C48=0,0,0.003*(C48-$C$38/2)/C48)</f>
        <v>0.000857142857142857</v>
      </c>
      <c r="G48" s="44" t="n">
        <f aca="false">IF(C48=0,0,0.003*(C48-$E$38)/C48)</f>
        <v>-0.000514285714285714</v>
      </c>
      <c r="H48" s="14" t="n">
        <f aca="false">MAX(-Datos!$C$25,MIN(Datos!$C$25,Datos!$C$28*E48))</f>
        <v>420</v>
      </c>
      <c r="I48" s="14" t="n">
        <f aca="false">MAX(-Datos!$C$25,MIN(Datos!$C$25,Datos!$C$28*F48))</f>
        <v>171.428571428571</v>
      </c>
      <c r="J48" s="14" t="n">
        <f aca="false">MAX(-Datos!$C$25,MIN(Datos!$C$25,Datos!$C$28*G48))</f>
        <v>-102.857142857143</v>
      </c>
      <c r="K48" s="33" t="n">
        <f aca="false">(0.85*Datos!$C$14*$B$38*D48+$F$38*(H48-IF($D$38&lt;D48,0.85*Datos!$C$14,0))+$H$38*(I48-IF($C$38/2&lt;D48,0.85*Datos!$C$14,0))+$G$38*(J48-IF($E$38&lt;D48,0.85*Datos!$C$14,0)))/1000</f>
        <v>1317.31346454097</v>
      </c>
      <c r="L48" s="33" t="n">
        <f aca="false">(0.85*Datos!$C$14*$B$38*D48*($C$38/2-D48/2)+$F$38*(H48-IF($D$38&lt;D48,0.85*Datos!$C$14,0))*($C$38/2-$D$38)+$G$38*(J48-IF($E$38&lt;D48,0.85*Datos!$C$14,0))*($C$38/2-$E$38))/10^6</f>
        <v>88.4936903555746</v>
      </c>
      <c r="M48" s="44" t="n">
        <f aca="false">-G48</f>
        <v>0.000514285714285714</v>
      </c>
      <c r="N48" s="30" t="n">
        <f aca="false">IF(M48&gt;=0.005,0.9,IF(M48&lt;=Datos!$C$25/Datos!$C$28,0.65,0.65+(M48-Datos!$C$25/Datos!$C$28)*0.25/(0.005-Datos!$C$25/Datos!$C$28)))</f>
        <v>0.65</v>
      </c>
      <c r="O48" s="33" t="n">
        <f aca="false">MIN(N48*K48,$J$38)</f>
        <v>856.253751951629</v>
      </c>
      <c r="P48" s="33" t="n">
        <f aca="false">N48*L48</f>
        <v>57.5208987311235</v>
      </c>
    </row>
    <row r="49" customFormat="false" ht="15" hidden="false" customHeight="false" outlineLevel="0" collapsed="false">
      <c r="B49" s="22" t="n">
        <v>0.6</v>
      </c>
      <c r="C49" s="14" t="n">
        <f aca="false">B49*$C$38</f>
        <v>180</v>
      </c>
      <c r="D49" s="14" t="n">
        <f aca="false">MIN(Datos!$C$16*C49,$C$38)</f>
        <v>153</v>
      </c>
      <c r="E49" s="44" t="n">
        <f aca="false">IF(C49=0,0,0.003*(C49-$D$38)/C49)</f>
        <v>0.0021</v>
      </c>
      <c r="F49" s="44" t="n">
        <f aca="false">IF(C49=0,0,0.003*(C49-$C$38/2)/C49)</f>
        <v>0.0005</v>
      </c>
      <c r="G49" s="44" t="n">
        <f aca="false">IF(C49=0,0,0.003*(C49-$E$38)/C49)</f>
        <v>-0.0011</v>
      </c>
      <c r="H49" s="14" t="n">
        <f aca="false">MAX(-Datos!$C$25,MIN(Datos!$C$25,Datos!$C$28*E49))</f>
        <v>420</v>
      </c>
      <c r="I49" s="14" t="n">
        <f aca="false">MAX(-Datos!$C$25,MIN(Datos!$C$25,Datos!$C$28*F49))</f>
        <v>100</v>
      </c>
      <c r="J49" s="14" t="n">
        <f aca="false">MAX(-Datos!$C$25,MIN(Datos!$C$25,Datos!$C$28*G49))</f>
        <v>-220</v>
      </c>
      <c r="K49" s="33" t="n">
        <f aca="false">(0.85*Datos!$C$14*$B$38*D49+$F$38*(H49-IF($D$38&lt;D49,0.85*Datos!$C$14,0))+$H$38*(I49-IF($C$38/2&lt;D49,0.85*Datos!$C$14,0))+$G$38*(J49-IF($E$38&lt;D49,0.85*Datos!$C$14,0)))/1000</f>
        <v>1078.92189386232</v>
      </c>
      <c r="L49" s="33" t="n">
        <f aca="false">(0.85*Datos!$C$14*$B$38*D49*($C$38/2-D49/2)+$F$38*(H49-IF($D$38&lt;D49,0.85*Datos!$C$14,0))*($C$38/2-$D$38)+$G$38*(J49-IF($E$38&lt;D49,0.85*Datos!$C$14,0))*($C$38/2-$E$38))/10^6</f>
        <v>95.5762197637739</v>
      </c>
      <c r="M49" s="44" t="n">
        <f aca="false">-G49</f>
        <v>0.0011</v>
      </c>
      <c r="N49" s="30" t="n">
        <f aca="false">IF(M49&gt;=0.005,0.9,IF(M49&lt;=Datos!$C$25/Datos!$C$28,0.65,0.65+(M49-Datos!$C$25/Datos!$C$28)*0.25/(0.005-Datos!$C$25/Datos!$C$28)))</f>
        <v>0.65</v>
      </c>
      <c r="O49" s="33" t="n">
        <f aca="false">MIN(N49*K49,$J$38)</f>
        <v>701.299231010508</v>
      </c>
      <c r="P49" s="33" t="n">
        <f aca="false">N49*L49</f>
        <v>62.1245428464531</v>
      </c>
    </row>
    <row r="50" customFormat="false" ht="15" hidden="false" customHeight="false" outlineLevel="0" collapsed="false">
      <c r="B50" s="22" t="n">
        <v>0.5</v>
      </c>
      <c r="C50" s="14" t="n">
        <f aca="false">B50*$C$38</f>
        <v>150</v>
      </c>
      <c r="D50" s="14" t="n">
        <f aca="false">MIN(Datos!$C$16*C50,$C$38)</f>
        <v>127.5</v>
      </c>
      <c r="E50" s="44" t="n">
        <f aca="false">IF(C50=0,0,0.003*(C50-$D$38)/C50)</f>
        <v>0.00192</v>
      </c>
      <c r="F50" s="44" t="n">
        <f aca="false">IF(C50=0,0,0.003*(C50-$C$38/2)/C50)</f>
        <v>0</v>
      </c>
      <c r="G50" s="44" t="n">
        <f aca="false">IF(C50=0,0,0.003*(C50-$E$38)/C50)</f>
        <v>-0.00192</v>
      </c>
      <c r="H50" s="14" t="n">
        <f aca="false">MAX(-Datos!$C$25,MIN(Datos!$C$25,Datos!$C$28*E50))</f>
        <v>384</v>
      </c>
      <c r="I50" s="14" t="n">
        <f aca="false">MAX(-Datos!$C$25,MIN(Datos!$C$25,Datos!$C$28*F50))</f>
        <v>0</v>
      </c>
      <c r="J50" s="14" t="n">
        <f aca="false">MAX(-Datos!$C$25,MIN(Datos!$C$25,Datos!$C$28*G50))</f>
        <v>-384</v>
      </c>
      <c r="K50" s="33" t="n">
        <f aca="false">(0.85*Datos!$C$14*$B$38*D50+$F$38*(H50-IF($D$38&lt;D50,0.85*Datos!$C$14,0))+$H$38*(I50-IF($C$38/2&lt;D50,0.85*Datos!$C$14,0))+$G$38*(J50-IF($E$38&lt;D50,0.85*Datos!$C$14,0)))/1000</f>
        <v>804.267367982236</v>
      </c>
      <c r="L50" s="33" t="n">
        <f aca="false">(0.85*Datos!$C$14*$B$38*D50*($C$38/2-D50/2)+$F$38*(H50-IF($D$38&lt;D50,0.85*Datos!$C$14,0))*($C$38/2-$D$38)+$G$38*(J50-IF($E$38&lt;D50,0.85*Datos!$C$14,0))*($C$38/2-$E$38))/10^6</f>
        <v>98.9325333762698</v>
      </c>
      <c r="M50" s="44" t="n">
        <f aca="false">-G50</f>
        <v>0.00192</v>
      </c>
      <c r="N50" s="30" t="n">
        <f aca="false">IF(M50&gt;=0.005,0.9,IF(M50&lt;=Datos!$C$25/Datos!$C$28,0.65,0.65+(M50-Datos!$C$25/Datos!$C$28)*0.25/(0.005-Datos!$C$25/Datos!$C$28)))</f>
        <v>0.65</v>
      </c>
      <c r="O50" s="33" t="n">
        <f aca="false">MIN(N50*K50,$J$38)</f>
        <v>522.773789188453</v>
      </c>
      <c r="P50" s="33" t="n">
        <f aca="false">N50*L50</f>
        <v>64.3061466945754</v>
      </c>
    </row>
    <row r="51" customFormat="false" ht="15" hidden="false" customHeight="false" outlineLevel="0" collapsed="false">
      <c r="B51" s="22" t="n">
        <v>0.45</v>
      </c>
      <c r="C51" s="14" t="n">
        <f aca="false">B51*$C$38</f>
        <v>135</v>
      </c>
      <c r="D51" s="14" t="n">
        <f aca="false">MIN(Datos!$C$16*C51,$C$38)</f>
        <v>114.75</v>
      </c>
      <c r="E51" s="44" t="n">
        <f aca="false">IF(C51=0,0,0.003*(C51-$D$38)/C51)</f>
        <v>0.0018</v>
      </c>
      <c r="F51" s="44" t="n">
        <f aca="false">IF(C51=0,0,0.003*(C51-$C$38/2)/C51)</f>
        <v>-0.000333333333333333</v>
      </c>
      <c r="G51" s="44" t="n">
        <f aca="false">IF(C51=0,0,0.003*(C51-$E$38)/C51)</f>
        <v>-0.00246666666666667</v>
      </c>
      <c r="H51" s="14" t="n">
        <f aca="false">MAX(-Datos!$C$25,MIN(Datos!$C$25,Datos!$C$28*E51))</f>
        <v>360</v>
      </c>
      <c r="I51" s="14" t="n">
        <f aca="false">MAX(-Datos!$C$25,MIN(Datos!$C$25,Datos!$C$28*F51))</f>
        <v>-66.6666666666667</v>
      </c>
      <c r="J51" s="14" t="n">
        <f aca="false">MAX(-Datos!$C$25,MIN(Datos!$C$25,Datos!$C$28*G51))</f>
        <v>-420</v>
      </c>
      <c r="K51" s="33" t="n">
        <f aca="false">(0.85*Datos!$C$14*$B$38*D51+$F$38*(H51-IF($D$38&lt;D51,0.85*Datos!$C$14,0))+$H$38*(I51-IF($C$38/2&lt;D51,0.85*Datos!$C$14,0))+$G$38*(J51-IF($E$38&lt;D51,0.85*Datos!$C$14,0)))/1000</f>
        <v>672.050429092033</v>
      </c>
      <c r="L51" s="33" t="n">
        <f aca="false">(0.85*Datos!$C$14*$B$38*D51*($C$38/2-D51/2)+$F$38*(H51-IF($D$38&lt;D51,0.85*Datos!$C$14,0))*($C$38/2-$D$38)+$G$38*(J51-IF($E$38&lt;D51,0.85*Datos!$C$14,0))*($C$38/2-$E$38))/10^6</f>
        <v>97.0487839688475</v>
      </c>
      <c r="M51" s="44" t="n">
        <f aca="false">-G51</f>
        <v>0.00246666666666667</v>
      </c>
      <c r="N51" s="30" t="n">
        <f aca="false">IF(M51&gt;=0.005,0.9,IF(M51&lt;=Datos!$C$25/Datos!$C$28,0.65,0.65+(M51-Datos!$C$25/Datos!$C$28)*0.25/(0.005-Datos!$C$25/Datos!$C$28)))</f>
        <v>0.681609195402299</v>
      </c>
      <c r="O51" s="33" t="n">
        <f aca="false">MIN(N51*K51,$J$38)</f>
        <v>458.075752243191</v>
      </c>
      <c r="P51" s="33" t="n">
        <f aca="false">N51*L51</f>
        <v>66.1493435557777</v>
      </c>
    </row>
    <row r="52" customFormat="false" ht="15" hidden="false" customHeight="false" outlineLevel="0" collapsed="false">
      <c r="B52" s="22" t="n">
        <v>0.4</v>
      </c>
      <c r="C52" s="14" t="n">
        <f aca="false">B52*$C$38</f>
        <v>120</v>
      </c>
      <c r="D52" s="14" t="n">
        <f aca="false">MIN(Datos!$C$16*C52,$C$38)</f>
        <v>102</v>
      </c>
      <c r="E52" s="44" t="n">
        <f aca="false">IF(C52=0,0,0.003*(C52-$D$38)/C52)</f>
        <v>0.00165</v>
      </c>
      <c r="F52" s="44" t="n">
        <f aca="false">IF(C52=0,0,0.003*(C52-$C$38/2)/C52)</f>
        <v>-0.00075</v>
      </c>
      <c r="G52" s="44" t="n">
        <f aca="false">IF(C52=0,0,0.003*(C52-$E$38)/C52)</f>
        <v>-0.00315</v>
      </c>
      <c r="H52" s="14" t="n">
        <f aca="false">MAX(-Datos!$C$25,MIN(Datos!$C$25,Datos!$C$28*E52))</f>
        <v>330</v>
      </c>
      <c r="I52" s="14" t="n">
        <f aca="false">MAX(-Datos!$C$25,MIN(Datos!$C$25,Datos!$C$28*F52))</f>
        <v>-150</v>
      </c>
      <c r="J52" s="14" t="n">
        <f aca="false">MAX(-Datos!$C$25,MIN(Datos!$C$25,Datos!$C$28*G52))</f>
        <v>-420</v>
      </c>
      <c r="K52" s="33" t="n">
        <f aca="false">(0.85*Datos!$C$14*$B$38*D52+$F$38*(H52-IF($D$38&lt;D52,0.85*Datos!$C$14,0))+$H$38*(I52-IF($C$38/2&lt;D52,0.85*Datos!$C$14,0))+$G$38*(J52-IF($E$38&lt;D52,0.85*Datos!$C$14,0)))/1000</f>
        <v>545.195141663957</v>
      </c>
      <c r="L52" s="33" t="n">
        <f aca="false">(0.85*Datos!$C$14*$B$38*D52*($C$38/2-D52/2)+$F$38*(H52-IF($D$38&lt;D52,0.85*Datos!$C$14,0))*($C$38/2-$D$38)+$G$38*(J52-IF($E$38&lt;D52,0.85*Datos!$C$14,0))*($C$38/2-$E$38))/10^6</f>
        <v>92.5073352217782</v>
      </c>
      <c r="M52" s="44" t="n">
        <f aca="false">-G52</f>
        <v>0.00315</v>
      </c>
      <c r="N52" s="30" t="n">
        <f aca="false">IF(M52&gt;=0.005,0.9,IF(M52&lt;=Datos!$C$25/Datos!$C$28,0.65,0.65+(M52-Datos!$C$25/Datos!$C$28)*0.25/(0.005-Datos!$C$25/Datos!$C$28)))</f>
        <v>0.74051724137931</v>
      </c>
      <c r="O52" s="33" t="n">
        <f aca="false">MIN(N52*K52,$J$38)</f>
        <v>403.726402318396</v>
      </c>
      <c r="P52" s="33" t="n">
        <f aca="false">N52*L52</f>
        <v>68.5032766857823</v>
      </c>
    </row>
    <row r="53" customFormat="false" ht="15" hidden="false" customHeight="false" outlineLevel="0" collapsed="false">
      <c r="B53" s="22" t="n">
        <v>0.35</v>
      </c>
      <c r="C53" s="14" t="n">
        <f aca="false">B53*$C$38</f>
        <v>105</v>
      </c>
      <c r="D53" s="14" t="n">
        <f aca="false">MIN(Datos!$C$16*C53,$C$38)</f>
        <v>89.25</v>
      </c>
      <c r="E53" s="44" t="n">
        <f aca="false">IF(C53=0,0,0.003*(C53-$D$38)/C53)</f>
        <v>0.00145714285714286</v>
      </c>
      <c r="F53" s="44" t="n">
        <f aca="false">IF(C53=0,0,0.003*(C53-$C$38/2)/C53)</f>
        <v>-0.00128571428571429</v>
      </c>
      <c r="G53" s="44" t="n">
        <f aca="false">IF(C53=0,0,0.003*(C53-$E$38)/C53)</f>
        <v>-0.00402857142857143</v>
      </c>
      <c r="H53" s="14" t="n">
        <f aca="false">MAX(-Datos!$C$25,MIN(Datos!$C$25,Datos!$C$28*E53))</f>
        <v>291.428571428571</v>
      </c>
      <c r="I53" s="14" t="n">
        <f aca="false">MAX(-Datos!$C$25,MIN(Datos!$C$25,Datos!$C$28*F53))</f>
        <v>-257.142857142857</v>
      </c>
      <c r="J53" s="14" t="n">
        <f aca="false">MAX(-Datos!$C$25,MIN(Datos!$C$25,Datos!$C$28*G53))</f>
        <v>-420</v>
      </c>
      <c r="K53" s="33" t="n">
        <f aca="false">(0.85*Datos!$C$14*$B$38*D53+$F$38*(H53-IF($D$38&lt;D53,0.85*Datos!$C$14,0))+$H$38*(I53-IF($C$38/2&lt;D53,0.85*Datos!$C$14,0))+$G$38*(J53-IF($E$38&lt;D53,0.85*Datos!$C$14,0)))/1000</f>
        <v>405.318700685003</v>
      </c>
      <c r="L53" s="33" t="n">
        <f aca="false">(0.85*Datos!$C$14*$B$38*D53*($C$38/2-D53/2)+$F$38*(H53-IF($D$38&lt;D53,0.85*Datos!$C$14,0))*($C$38/2-$D$38)+$G$38*(J53-IF($E$38&lt;D53,0.85*Datos!$C$14,0))*($C$38/2-$E$38))/10^6</f>
        <v>86.5986600469747</v>
      </c>
      <c r="M53" s="44" t="n">
        <f aca="false">-G53</f>
        <v>0.00402857142857143</v>
      </c>
      <c r="N53" s="30" t="n">
        <f aca="false">IF(M53&gt;=0.005,0.9,IF(M53&lt;=Datos!$C$25/Datos!$C$28,0.65,0.65+(M53-Datos!$C$25/Datos!$C$28)*0.25/(0.005-Datos!$C$25/Datos!$C$28)))</f>
        <v>0.816256157635468</v>
      </c>
      <c r="O53" s="33" t="n">
        <f aca="false">MIN(N53*K53,$J$38)</f>
        <v>330.843885238941</v>
      </c>
      <c r="P53" s="33" t="n">
        <f aca="false">N53*L53</f>
        <v>70.6866895063237</v>
      </c>
    </row>
    <row r="54" customFormat="false" ht="15" hidden="false" customHeight="false" outlineLevel="0" collapsed="false">
      <c r="B54" s="22" t="n">
        <v>0.3</v>
      </c>
      <c r="C54" s="14" t="n">
        <f aca="false">B54*$C$38</f>
        <v>90</v>
      </c>
      <c r="D54" s="14" t="n">
        <f aca="false">MIN(Datos!$C$16*C54,$C$38)</f>
        <v>76.5</v>
      </c>
      <c r="E54" s="44" t="n">
        <f aca="false">IF(C54=0,0,0.003*(C54-$D$38)/C54)</f>
        <v>0.0012</v>
      </c>
      <c r="F54" s="44" t="n">
        <f aca="false">IF(C54=0,0,0.003*(C54-$C$38/2)/C54)</f>
        <v>-0.002</v>
      </c>
      <c r="G54" s="44" t="n">
        <f aca="false">IF(C54=0,0,0.003*(C54-$E$38)/C54)</f>
        <v>-0.0052</v>
      </c>
      <c r="H54" s="14" t="n">
        <f aca="false">MAX(-Datos!$C$25,MIN(Datos!$C$25,Datos!$C$28*E54))</f>
        <v>240</v>
      </c>
      <c r="I54" s="14" t="n">
        <f aca="false">MAX(-Datos!$C$25,MIN(Datos!$C$25,Datos!$C$28*F54))</f>
        <v>-400</v>
      </c>
      <c r="J54" s="14" t="n">
        <f aca="false">MAX(-Datos!$C$25,MIN(Datos!$C$25,Datos!$C$28*G54))</f>
        <v>-420</v>
      </c>
      <c r="K54" s="33" t="n">
        <f aca="false">(0.85*Datos!$C$14*$B$38*D54+$F$38*(H54-IF($D$38&lt;D54,0.85*Datos!$C$14,0))+$H$38*(I54-IF($C$38/2&lt;D54,0.85*Datos!$C$14,0))+$G$38*(J54-IF($E$38&lt;D54,0.85*Datos!$C$14,0)))/1000</f>
        <v>245.910529379729</v>
      </c>
      <c r="L54" s="33" t="n">
        <f aca="false">(0.85*Datos!$C$14*$B$38*D54*($C$38/2-D54/2)+$F$38*(H54-IF($D$38&lt;D54,0.85*Datos!$C$14,0))*($C$38/2-$D$38)+$G$38*(J54-IF($E$38&lt;D54,0.85*Datos!$C$14,0))*($C$38/2-$E$38))/10^6</f>
        <v>79.1573131993201</v>
      </c>
      <c r="M54" s="44" t="n">
        <f aca="false">-G54</f>
        <v>0.0052</v>
      </c>
      <c r="N54" s="30" t="n">
        <f aca="false">IF(M54&gt;=0.005,0.9,IF(M54&lt;=Datos!$C$25/Datos!$C$28,0.65,0.65+(M54-Datos!$C$25/Datos!$C$28)*0.25/(0.005-Datos!$C$25/Datos!$C$28)))</f>
        <v>0.9</v>
      </c>
      <c r="O54" s="33" t="n">
        <f aca="false">MIN(N54*K54,$J$38)</f>
        <v>221.319476441757</v>
      </c>
      <c r="P54" s="33" t="n">
        <f aca="false">N54*L54</f>
        <v>71.2415818793881</v>
      </c>
    </row>
    <row r="55" customFormat="false" ht="15" hidden="false" customHeight="false" outlineLevel="0" collapsed="false">
      <c r="B55" s="22" t="n">
        <v>0.25</v>
      </c>
      <c r="C55" s="14" t="n">
        <f aca="false">B55*$C$38</f>
        <v>75</v>
      </c>
      <c r="D55" s="14" t="n">
        <f aca="false">MIN(Datos!$C$16*C55,$C$38)</f>
        <v>63.75</v>
      </c>
      <c r="E55" s="44" t="n">
        <f aca="false">IF(C55=0,0,0.003*(C55-$D$38)/C55)</f>
        <v>0.00084</v>
      </c>
      <c r="F55" s="44" t="n">
        <f aca="false">IF(C55=0,0,0.003*(C55-$C$38/2)/C55)</f>
        <v>-0.003</v>
      </c>
      <c r="G55" s="44" t="n">
        <f aca="false">IF(C55=0,0,0.003*(C55-$E$38)/C55)</f>
        <v>-0.00684</v>
      </c>
      <c r="H55" s="14" t="n">
        <f aca="false">MAX(-Datos!$C$25,MIN(Datos!$C$25,Datos!$C$28*E55))</f>
        <v>168</v>
      </c>
      <c r="I55" s="14" t="n">
        <f aca="false">MAX(-Datos!$C$25,MIN(Datos!$C$25,Datos!$C$28*F55))</f>
        <v>-420</v>
      </c>
      <c r="J55" s="14" t="n">
        <f aca="false">MAX(-Datos!$C$25,MIN(Datos!$C$25,Datos!$C$28*G55))</f>
        <v>-420</v>
      </c>
      <c r="K55" s="33" t="n">
        <f aca="false">(0.85*Datos!$C$14*$B$38*D55+$F$38*(H55-IF($D$38&lt;D55,0.85*Datos!$C$14,0))+$H$38*(I55-IF($C$38/2&lt;D55,0.85*Datos!$C$14,0))+$G$38*(J55-IF($E$38&lt;D55,0.85*Datos!$C$14,0)))/1000</f>
        <v>127.633884291056</v>
      </c>
      <c r="L55" s="33" t="n">
        <f aca="false">(0.85*Datos!$C$14*$B$38*D55*($C$38/2-D55/2)+$F$38*(H55-IF($D$38&lt;D55,0.85*Datos!$C$14,0))*($C$38/2-$D$38)+$G$38*(J55-IF($E$38&lt;D55,0.85*Datos!$C$14,0))*($C$38/2-$E$38))/10^6</f>
        <v>69.8854932376037</v>
      </c>
      <c r="M55" s="44" t="n">
        <f aca="false">-G55</f>
        <v>0.00684</v>
      </c>
      <c r="N55" s="30" t="n">
        <f aca="false">IF(M55&gt;=0.005,0.9,IF(M55&lt;=Datos!$C$25/Datos!$C$28,0.65,0.65+(M55-Datos!$C$25/Datos!$C$28)*0.25/(0.005-Datos!$C$25/Datos!$C$28)))</f>
        <v>0.9</v>
      </c>
      <c r="O55" s="33" t="n">
        <f aca="false">MIN(N55*K55,$J$38)</f>
        <v>114.87049586195</v>
      </c>
      <c r="P55" s="33" t="n">
        <f aca="false">N55*L55</f>
        <v>62.8969439138434</v>
      </c>
    </row>
    <row r="56" customFormat="false" ht="15" hidden="false" customHeight="false" outlineLevel="0" collapsed="false">
      <c r="B56" s="22" t="n">
        <v>0.2</v>
      </c>
      <c r="C56" s="14" t="n">
        <f aca="false">B56*$C$38</f>
        <v>60</v>
      </c>
      <c r="D56" s="14" t="n">
        <f aca="false">MIN(Datos!$C$16*C56,$C$38)</f>
        <v>51</v>
      </c>
      <c r="E56" s="44" t="n">
        <f aca="false">IF(C56=0,0,0.003*(C56-$D$38)/C56)</f>
        <v>0.0003</v>
      </c>
      <c r="F56" s="44" t="n">
        <f aca="false">IF(C56=0,0,0.003*(C56-$C$38/2)/C56)</f>
        <v>-0.0045</v>
      </c>
      <c r="G56" s="44" t="n">
        <f aca="false">IF(C56=0,0,0.003*(C56-$E$38)/C56)</f>
        <v>-0.0093</v>
      </c>
      <c r="H56" s="14" t="n">
        <f aca="false">MAX(-Datos!$C$25,MIN(Datos!$C$25,Datos!$C$28*E56))</f>
        <v>60</v>
      </c>
      <c r="I56" s="14" t="n">
        <f aca="false">MAX(-Datos!$C$25,MIN(Datos!$C$25,Datos!$C$28*F56))</f>
        <v>-420</v>
      </c>
      <c r="J56" s="14" t="n">
        <f aca="false">MAX(-Datos!$C$25,MIN(Datos!$C$25,Datos!$C$28*G56))</f>
        <v>-420</v>
      </c>
      <c r="K56" s="33" t="n">
        <f aca="false">(0.85*Datos!$C$14*$B$38*D56+$F$38*(H56-IF($D$38&lt;D56,0.85*Datos!$C$14,0))+$H$38*(I56-IF($C$38/2&lt;D56,0.85*Datos!$C$14,0))+$G$38*(J56-IF($E$38&lt;D56,0.85*Datos!$C$14,0)))/1000</f>
        <v>11.468389465595</v>
      </c>
      <c r="L56" s="33" t="n">
        <f aca="false">(0.85*Datos!$C$14*$B$38*D56*($C$38/2-D56/2)+$F$38*(H56-IF($D$38&lt;D56,0.85*Datos!$C$14,0))*($C$38/2-$D$38)+$G$38*(J56-IF($E$38&lt;D56,0.85*Datos!$C$14,0))*($C$38/2-$E$38))/10^6</f>
        <v>59.0079299531095</v>
      </c>
      <c r="M56" s="44" t="n">
        <f aca="false">-G56</f>
        <v>0.0093</v>
      </c>
      <c r="N56" s="30" t="n">
        <f aca="false">IF(M56&gt;=0.005,0.9,IF(M56&lt;=Datos!$C$25/Datos!$C$28,0.65,0.65+(M56-Datos!$C$25/Datos!$C$28)*0.25/(0.005-Datos!$C$25/Datos!$C$28)))</f>
        <v>0.9</v>
      </c>
      <c r="O56" s="33" t="n">
        <f aca="false">MIN(N56*K56,$J$38)</f>
        <v>10.3215505190355</v>
      </c>
      <c r="P56" s="33" t="n">
        <f aca="false">N56*L56</f>
        <v>53.1071369577985</v>
      </c>
    </row>
    <row r="57" customFormat="false" ht="15" hidden="false" customHeight="false" outlineLevel="0" collapsed="false">
      <c r="B57" s="22" t="n">
        <v>0.15</v>
      </c>
      <c r="C57" s="14" t="n">
        <f aca="false">B57*$C$38</f>
        <v>45</v>
      </c>
      <c r="D57" s="14" t="n">
        <f aca="false">MIN(Datos!$C$16*C57,$C$38)</f>
        <v>38.25</v>
      </c>
      <c r="E57" s="44" t="n">
        <f aca="false">IF(C57=0,0,0.003*(C57-$D$38)/C57)</f>
        <v>-0.0006</v>
      </c>
      <c r="F57" s="44" t="n">
        <f aca="false">IF(C57=0,0,0.003*(C57-$C$38/2)/C57)</f>
        <v>-0.007</v>
      </c>
      <c r="G57" s="44" t="n">
        <f aca="false">IF(C57=0,0,0.003*(C57-$E$38)/C57)</f>
        <v>-0.0134</v>
      </c>
      <c r="H57" s="14" t="n">
        <f aca="false">MAX(-Datos!$C$25,MIN(Datos!$C$25,Datos!$C$28*E57))</f>
        <v>-120</v>
      </c>
      <c r="I57" s="14" t="n">
        <f aca="false">MAX(-Datos!$C$25,MIN(Datos!$C$25,Datos!$C$28*F57))</f>
        <v>-420</v>
      </c>
      <c r="J57" s="14" t="n">
        <f aca="false">MAX(-Datos!$C$25,MIN(Datos!$C$25,Datos!$C$28*G57))</f>
        <v>-420</v>
      </c>
      <c r="K57" s="33" t="n">
        <f aca="false">(0.85*Datos!$C$14*$B$38*D57+$F$38*(H57-IF($D$38&lt;D57,0.85*Datos!$C$14,0))+$H$38*(I57-IF($C$38/2&lt;D57,0.85*Datos!$C$14,0))+$G$38*(J57-IF($E$38&lt;D57,0.85*Datos!$C$14,0)))/1000</f>
        <v>-142.195155273114</v>
      </c>
      <c r="L57" s="33" t="n">
        <f aca="false">(0.85*Datos!$C$14*$B$38*D57*($C$38/2-D57/2)+$F$38*(H57-IF($D$38&lt;D57,0.85*Datos!$C$14,0))*($C$38/2-$D$38)+$G$38*(J57-IF($E$38&lt;D57,0.85*Datos!$C$14,0))*($C$38/2-$E$38))/10^6</f>
        <v>43.4942179394434</v>
      </c>
      <c r="M57" s="44" t="n">
        <f aca="false">-G57</f>
        <v>0.0134</v>
      </c>
      <c r="N57" s="30" t="n">
        <f aca="false">IF(M57&gt;=0.005,0.9,IF(M57&lt;=Datos!$C$25/Datos!$C$28,0.65,0.65+(M57-Datos!$C$25/Datos!$C$28)*0.25/(0.005-Datos!$C$25/Datos!$C$28)))</f>
        <v>0.9</v>
      </c>
      <c r="O57" s="33" t="n">
        <f aca="false">MIN(N57*K57,$J$38)</f>
        <v>-127.975639745802</v>
      </c>
      <c r="P57" s="33" t="n">
        <f aca="false">N57*L57</f>
        <v>39.1447961454991</v>
      </c>
    </row>
    <row r="58" customFormat="false" ht="15" hidden="false" customHeight="false" outlineLevel="0" collapsed="false">
      <c r="B58" s="22" t="n">
        <v>0.1</v>
      </c>
      <c r="C58" s="14" t="n">
        <f aca="false">B58*$C$38</f>
        <v>30</v>
      </c>
      <c r="D58" s="14" t="n">
        <f aca="false">MIN(Datos!$C$16*C58,$C$38)</f>
        <v>25.5</v>
      </c>
      <c r="E58" s="44" t="n">
        <f aca="false">IF(C58=0,0,0.003*(C58-$D$38)/C58)</f>
        <v>-0.0024</v>
      </c>
      <c r="F58" s="44" t="n">
        <f aca="false">IF(C58=0,0,0.003*(C58-$C$38/2)/C58)</f>
        <v>-0.012</v>
      </c>
      <c r="G58" s="44" t="n">
        <f aca="false">IF(C58=0,0,0.003*(C58-$E$38)/C58)</f>
        <v>-0.0216</v>
      </c>
      <c r="H58" s="14" t="n">
        <f aca="false">MAX(-Datos!$C$25,MIN(Datos!$C$25,Datos!$C$28*E58))</f>
        <v>-420</v>
      </c>
      <c r="I58" s="14" t="n">
        <f aca="false">MAX(-Datos!$C$25,MIN(Datos!$C$25,Datos!$C$28*F58))</f>
        <v>-420</v>
      </c>
      <c r="J58" s="14" t="n">
        <f aca="false">MAX(-Datos!$C$25,MIN(Datos!$C$25,Datos!$C$28*G58))</f>
        <v>-420</v>
      </c>
      <c r="K58" s="33" t="n">
        <f aca="false">(0.85*Datos!$C$14*$B$38*D58+$F$38*(H58-IF($D$38&lt;D58,0.85*Datos!$C$14,0))+$H$38*(I58-IF($C$38/2&lt;D58,0.85*Datos!$C$14,0))+$G$38*(J58-IF($E$38&lt;D58,0.85*Datos!$C$14,0)))/1000</f>
        <v>-344.113563170962</v>
      </c>
      <c r="L58" s="33" t="n">
        <f aca="false">(0.85*Datos!$C$14*$B$38*D58*($C$38/2-D58/2)+$F$38*(H58-IF($D$38&lt;D58,0.85*Datos!$C$14,0))*($C$38/2-$D$38)+$G$38*(J58-IF($E$38&lt;D58,0.85*Datos!$C$14,0))*($C$38/2-$E$38))/10^6</f>
        <v>22.311703125</v>
      </c>
      <c r="M58" s="44" t="n">
        <f aca="false">-G58</f>
        <v>0.0216</v>
      </c>
      <c r="N58" s="30" t="n">
        <f aca="false">IF(M58&gt;=0.005,0.9,IF(M58&lt;=Datos!$C$25/Datos!$C$28,0.65,0.65+(M58-Datos!$C$25/Datos!$C$28)*0.25/(0.005-Datos!$C$25/Datos!$C$28)))</f>
        <v>0.9</v>
      </c>
      <c r="O58" s="33" t="n">
        <f aca="false">MIN(N58*K58,$J$38)</f>
        <v>-309.702206853866</v>
      </c>
      <c r="P58" s="33" t="n">
        <f aca="false">N58*L58</f>
        <v>20.0805328125</v>
      </c>
    </row>
    <row r="59" customFormat="false" ht="15" hidden="false" customHeight="false" outlineLevel="0" collapsed="false">
      <c r="B59" s="22" t="n">
        <v>0.05</v>
      </c>
      <c r="C59" s="14" t="n">
        <f aca="false">B59*$C$38</f>
        <v>15</v>
      </c>
      <c r="D59" s="14" t="n">
        <f aca="false">MIN(Datos!$C$16*C59,$C$38)</f>
        <v>12.75</v>
      </c>
      <c r="E59" s="44" t="n">
        <f aca="false">IF(C59=0,0,0.003*(C59-$D$38)/C59)</f>
        <v>-0.0078</v>
      </c>
      <c r="F59" s="44" t="n">
        <f aca="false">IF(C59=0,0,0.003*(C59-$C$38/2)/C59)</f>
        <v>-0.027</v>
      </c>
      <c r="G59" s="44" t="n">
        <f aca="false">IF(C59=0,0,0.003*(C59-$E$38)/C59)</f>
        <v>-0.0462</v>
      </c>
      <c r="H59" s="14" t="n">
        <f aca="false">MAX(-Datos!$C$25,MIN(Datos!$C$25,Datos!$C$28*E59))</f>
        <v>-420</v>
      </c>
      <c r="I59" s="14" t="n">
        <f aca="false">MAX(-Datos!$C$25,MIN(Datos!$C$25,Datos!$C$28*F59))</f>
        <v>-420</v>
      </c>
      <c r="J59" s="14" t="n">
        <f aca="false">MAX(-Datos!$C$25,MIN(Datos!$C$25,Datos!$C$28*G59))</f>
        <v>-420</v>
      </c>
      <c r="K59" s="33" t="n">
        <f aca="false">(0.85*Datos!$C$14*$B$38*D59+$F$38*(H59-IF($D$38&lt;D59,0.85*Datos!$C$14,0))+$H$38*(I59-IF($C$38/2&lt;D59,0.85*Datos!$C$14,0))+$G$38*(J59-IF($E$38&lt;D59,0.85*Datos!$C$14,0)))/1000</f>
        <v>-425.394813170962</v>
      </c>
      <c r="L59" s="33" t="n">
        <f aca="false">(0.85*Datos!$C$14*$B$38*D59*($C$38/2-D59/2)+$F$38*(H59-IF($D$38&lt;D59,0.85*Datos!$C$14,0))*($C$38/2-$D$38)+$G$38*(J59-IF($E$38&lt;D59,0.85*Datos!$C$14,0))*($C$38/2-$E$38))/10^6</f>
        <v>11.67401953125</v>
      </c>
      <c r="M59" s="44" t="n">
        <f aca="false">-G59</f>
        <v>0.0462</v>
      </c>
      <c r="N59" s="30" t="n">
        <f aca="false">IF(M59&gt;=0.005,0.9,IF(M59&lt;=Datos!$C$25/Datos!$C$28,0.65,0.65+(M59-Datos!$C$25/Datos!$C$28)*0.25/(0.005-Datos!$C$25/Datos!$C$28)))</f>
        <v>0.9</v>
      </c>
      <c r="O59" s="33" t="n">
        <f aca="false">MIN(N59*K59,$J$38)</f>
        <v>-382.855331853866</v>
      </c>
      <c r="P59" s="33" t="n">
        <f aca="false">N59*L59</f>
        <v>10.506617578125</v>
      </c>
    </row>
    <row r="60" customFormat="false" ht="15" hidden="false" customHeight="false" outlineLevel="0" collapsed="false">
      <c r="B60" s="22" t="n">
        <v>0.02</v>
      </c>
      <c r="C60" s="14" t="n">
        <f aca="false">B60*$C$38</f>
        <v>6</v>
      </c>
      <c r="D60" s="14" t="n">
        <f aca="false">MIN(Datos!$C$16*C60,$C$38)</f>
        <v>5.1</v>
      </c>
      <c r="E60" s="44" t="n">
        <f aca="false">IF(C60=0,0,0.003*(C60-$D$38)/C60)</f>
        <v>-0.024</v>
      </c>
      <c r="F60" s="44" t="n">
        <f aca="false">IF(C60=0,0,0.003*(C60-$C$38/2)/C60)</f>
        <v>-0.072</v>
      </c>
      <c r="G60" s="44" t="n">
        <f aca="false">IF(C60=0,0,0.003*(C60-$E$38)/C60)</f>
        <v>-0.12</v>
      </c>
      <c r="H60" s="14" t="n">
        <f aca="false">MAX(-Datos!$C$25,MIN(Datos!$C$25,Datos!$C$28*E60))</f>
        <v>-420</v>
      </c>
      <c r="I60" s="14" t="n">
        <f aca="false">MAX(-Datos!$C$25,MIN(Datos!$C$25,Datos!$C$28*F60))</f>
        <v>-420</v>
      </c>
      <c r="J60" s="14" t="n">
        <f aca="false">MAX(-Datos!$C$25,MIN(Datos!$C$25,Datos!$C$28*G60))</f>
        <v>-420</v>
      </c>
      <c r="K60" s="33" t="n">
        <f aca="false">(0.85*Datos!$C$14*$B$38*D60+$F$38*(H60-IF($D$38&lt;D60,0.85*Datos!$C$14,0))+$H$38*(I60-IF($C$38/2&lt;D60,0.85*Datos!$C$14,0))+$G$38*(J60-IF($E$38&lt;D60,0.85*Datos!$C$14,0)))/1000</f>
        <v>-474.163563170962</v>
      </c>
      <c r="L60" s="33" t="n">
        <f aca="false">(0.85*Datos!$C$14*$B$38*D60*($C$38/2-D60/2)+$F$38*(H60-IF($D$38&lt;D60,0.85*Datos!$C$14,0))*($C$38/2-$D$38)+$G$38*(J60-IF($E$38&lt;D60,0.85*Datos!$C$14,0))*($C$38/2-$E$38))/10^6</f>
        <v>4.793968125</v>
      </c>
      <c r="M60" s="44" t="n">
        <f aca="false">-G60</f>
        <v>0.12</v>
      </c>
      <c r="N60" s="30" t="n">
        <f aca="false">IF(M60&gt;=0.005,0.9,IF(M60&lt;=Datos!$C$25/Datos!$C$28,0.65,0.65+(M60-Datos!$C$25/Datos!$C$28)*0.25/(0.005-Datos!$C$25/Datos!$C$28)))</f>
        <v>0.9</v>
      </c>
      <c r="O60" s="33" t="n">
        <f aca="false">MIN(N60*K60,$J$38)</f>
        <v>-426.747206853866</v>
      </c>
      <c r="P60" s="33" t="n">
        <f aca="false">N60*L60</f>
        <v>4.3145713125</v>
      </c>
    </row>
    <row r="62" customFormat="false" ht="15" hidden="false" customHeight="false" outlineLevel="0" collapsed="false">
      <c r="B62" s="45" t="s">
        <v>424</v>
      </c>
      <c r="P62" s="39" t="n">
        <f aca="false">IF(Columnas!$H$17="",0,IF(Columnas!$K$7&gt;$J$38,0,IF(Columnas!$K$7&lt;=$O$60,$P$60,IF(INDEX($O$40:$O$60,SUMPRODUCT(--($O$40:$O$60&gt;=Columnas!$K$7)))=INDEX($O$40:$O$60,SUMPRODUCT(--($O$40:$O$60&gt;=Columnas!$K$7))+1),INDEX($P$40:$P$60,SUMPRODUCT(--($O$40:$O$60&gt;=Columnas!$K$7))),INDEX($P$40:$P$60,SUMPRODUCT(--($O$40:$O$60&gt;=Columnas!$K$7)))+(INDEX($P$40:$P$60,SUMPRODUCT(--($O$40:$O$60&gt;=Columnas!$K$7))+1)-INDEX($P$40:$P$60,SUMPRODUCT(--($O$40:$O$60&gt;=Columnas!$K$7))))*(INDEX($O$40:$O$60,SUMPRODUCT(--($O$40:$O$60&gt;=Columnas!$K$7)))-Columnas!$K$7)/(INDEX($O$40:$O$60,SUMPRODUCT(--($O$40:$O$60&gt;=Columnas!$K$7)))-INDEX($O$40:$O$60,SUMPRODUCT(--($O$40:$O$60&gt;=Columnas!$K$7))+1))))))</f>
        <v>66.1758421910577</v>
      </c>
    </row>
    <row r="63" customFormat="false" ht="15" hidden="false" customHeight="false" outlineLevel="0" collapsed="false">
      <c r="B63" s="45" t="s">
        <v>425</v>
      </c>
      <c r="O63" s="33" t="n">
        <f aca="false">Columnas!$L$7</f>
        <v>25</v>
      </c>
      <c r="P63" s="33" t="n">
        <f aca="false">Columnas!$K$7</f>
        <v>156.698</v>
      </c>
    </row>
    <row r="66" customFormat="false" ht="15" hidden="false" customHeight="false" outlineLevel="0" collapsed="false">
      <c r="B66" s="42" t="str">
        <f aca="false">IF(Columnas!B8="","(columna sin cargar)","Columna "&amp;Columnas!B8&amp;"  –  "&amp;Columnas!C8&amp;" × "&amp;Columnas!D8&amp;" cm")</f>
        <v>Columna C3  –  25 × 40 cm</v>
      </c>
      <c r="C66" s="42"/>
      <c r="D66" s="42"/>
      <c r="E66" s="42"/>
      <c r="F66" s="42"/>
      <c r="G66" s="42"/>
      <c r="H66" s="42"/>
      <c r="I66" s="42"/>
      <c r="J66" s="42"/>
      <c r="K66" s="42"/>
      <c r="L66" s="42"/>
      <c r="M66" s="42"/>
      <c r="N66" s="42"/>
      <c r="O66" s="42"/>
      <c r="P66" s="42"/>
    </row>
    <row r="67" customFormat="false" ht="27.75" hidden="false" customHeight="true" outlineLevel="0" collapsed="false">
      <c r="B67" s="11" t="s">
        <v>401</v>
      </c>
      <c r="C67" s="11" t="s">
        <v>402</v>
      </c>
      <c r="D67" s="11" t="s">
        <v>403</v>
      </c>
      <c r="E67" s="11" t="s">
        <v>404</v>
      </c>
      <c r="F67" s="11" t="s">
        <v>405</v>
      </c>
      <c r="G67" s="11" t="s">
        <v>406</v>
      </c>
      <c r="H67" s="11" t="s">
        <v>407</v>
      </c>
      <c r="I67" s="11" t="s">
        <v>408</v>
      </c>
      <c r="J67" s="11" t="s">
        <v>389</v>
      </c>
      <c r="K67" s="43" t="s">
        <v>409</v>
      </c>
    </row>
    <row r="68" customFormat="false" ht="15" hidden="false" customHeight="false" outlineLevel="0" collapsed="false">
      <c r="B68" s="33" t="n">
        <f aca="false">IF(Columnas!$H$18="",0,Columnas!$C$8*10)</f>
        <v>250</v>
      </c>
      <c r="C68" s="33" t="n">
        <f aca="false">IF(Columnas!$H$18="",0,Columnas!$D$8*10)</f>
        <v>400</v>
      </c>
      <c r="D68" s="33" t="n">
        <f aca="false">IF(Columnas!$H$18="",0,Columnas!$J$18*10)</f>
        <v>56</v>
      </c>
      <c r="E68" s="33" t="n">
        <f aca="false">C68-D68</f>
        <v>344</v>
      </c>
      <c r="F68" s="33" t="n">
        <f aca="false">IF(Columnas!$H$18="",0,Columnas!$D$18*(PI()*Columnas!$E$18^2/4))</f>
        <v>603.18578948924</v>
      </c>
      <c r="G68" s="33" t="n">
        <f aca="false">F68</f>
        <v>603.18578948924</v>
      </c>
      <c r="H68" s="33" t="n">
        <f aca="false">IF(Columnas!$H$18="",0,(Columnas!$C$18-2*Columnas!$D$18)*(PI()*Columnas!$E$18^2/4))</f>
        <v>0</v>
      </c>
      <c r="I68" s="33" t="n">
        <f aca="false">(0.85*Datos!$C$14*(B68*C68-(F68+G68+H68))+Datos!$C$25*(F68+G68+H68))/1000</f>
        <v>2606.04066711767</v>
      </c>
      <c r="J68" s="33" t="n">
        <f aca="false">0.8*0.65*I68</f>
        <v>1355.14114690119</v>
      </c>
      <c r="K68" s="33" t="n">
        <f aca="false">J68</f>
        <v>1355.14114690119</v>
      </c>
    </row>
    <row r="69" customFormat="false" ht="27.75" hidden="false" customHeight="true" outlineLevel="0" collapsed="false">
      <c r="B69" s="11" t="s">
        <v>410</v>
      </c>
      <c r="C69" s="11" t="s">
        <v>411</v>
      </c>
      <c r="D69" s="11" t="s">
        <v>412</v>
      </c>
      <c r="E69" s="11" t="s">
        <v>413</v>
      </c>
      <c r="F69" s="11" t="s">
        <v>414</v>
      </c>
      <c r="G69" s="11" t="s">
        <v>415</v>
      </c>
      <c r="H69" s="11" t="s">
        <v>416</v>
      </c>
      <c r="I69" s="11" t="s">
        <v>417</v>
      </c>
      <c r="J69" s="11" t="s">
        <v>418</v>
      </c>
      <c r="K69" s="11" t="s">
        <v>419</v>
      </c>
      <c r="L69" s="11" t="s">
        <v>420</v>
      </c>
      <c r="M69" s="11" t="s">
        <v>421</v>
      </c>
      <c r="N69" s="11" t="s">
        <v>422</v>
      </c>
      <c r="O69" s="11" t="s">
        <v>423</v>
      </c>
      <c r="P69" s="11" t="s">
        <v>347</v>
      </c>
    </row>
    <row r="70" customFormat="false" ht="15" hidden="false" customHeight="false" outlineLevel="0" collapsed="false">
      <c r="B70" s="22" t="n">
        <v>100</v>
      </c>
      <c r="C70" s="14" t="n">
        <f aca="false">B70*$C$68</f>
        <v>40000</v>
      </c>
      <c r="D70" s="14" t="n">
        <f aca="false">MIN(Datos!$C$16*C70,$C$68)</f>
        <v>400</v>
      </c>
      <c r="E70" s="44" t="n">
        <f aca="false">IF(C70=0,0,0.003*(C70-$D$68)/C70)</f>
        <v>0.0029958</v>
      </c>
      <c r="F70" s="44" t="n">
        <f aca="false">IF(C70=0,0,0.003*(C70-$C$68/2)/C70)</f>
        <v>0.002985</v>
      </c>
      <c r="G70" s="44" t="n">
        <f aca="false">IF(C70=0,0,0.003*(C70-$E$68)/C70)</f>
        <v>0.0029742</v>
      </c>
      <c r="H70" s="14" t="n">
        <f aca="false">MAX(-Datos!$C$25,MIN(Datos!$C$25,Datos!$C$28*E70))</f>
        <v>420</v>
      </c>
      <c r="I70" s="14" t="n">
        <f aca="false">MAX(-Datos!$C$25,MIN(Datos!$C$25,Datos!$C$28*F70))</f>
        <v>420</v>
      </c>
      <c r="J70" s="14" t="n">
        <f aca="false">MAX(-Datos!$C$25,MIN(Datos!$C$25,Datos!$C$28*G70))</f>
        <v>420</v>
      </c>
      <c r="K70" s="33" t="n">
        <f aca="false">(0.85*Datos!$C$14*$B$68*D70+$F$68*(H70-IF($D$68&lt;D70,0.85*Datos!$C$14,0))+$H$68*(I70-IF($C$68/2&lt;D70,0.85*Datos!$C$14,0))+$G$68*(J70-IF($E$68&lt;D70,0.85*Datos!$C$14,0)))/1000</f>
        <v>2606.04066711767</v>
      </c>
      <c r="L70" s="33" t="n">
        <f aca="false">(0.85*Datos!$C$14*$B$68*D70*($C$68/2-D70/2)+$F$68*(H70-IF($D$68&lt;D70,0.85*Datos!$C$14,0))*($C$68/2-$D$68)+$G$68*(J70-IF($E$68&lt;D70,0.85*Datos!$C$14,0))*($C$68/2-$E$68))/10^6</f>
        <v>0</v>
      </c>
      <c r="M70" s="44" t="n">
        <f aca="false">-G70</f>
        <v>-0.0029742</v>
      </c>
      <c r="N70" s="30" t="n">
        <f aca="false">IF(M70&gt;=0.005,0.9,IF(M70&lt;=Datos!$C$25/Datos!$C$28,0.65,0.65+(M70-Datos!$C$25/Datos!$C$28)*0.25/(0.005-Datos!$C$25/Datos!$C$28)))</f>
        <v>0.65</v>
      </c>
      <c r="O70" s="33" t="n">
        <f aca="false">MIN(N70*K70,$J$68)</f>
        <v>1355.14114690119</v>
      </c>
      <c r="P70" s="33" t="n">
        <f aca="false">N70*L70</f>
        <v>0</v>
      </c>
    </row>
    <row r="71" customFormat="false" ht="15" hidden="false" customHeight="false" outlineLevel="0" collapsed="false">
      <c r="B71" s="22" t="n">
        <v>3</v>
      </c>
      <c r="C71" s="14" t="n">
        <f aca="false">B71*$C$68</f>
        <v>1200</v>
      </c>
      <c r="D71" s="14" t="n">
        <f aca="false">MIN(Datos!$C$16*C71,$C$68)</f>
        <v>400</v>
      </c>
      <c r="E71" s="44" t="n">
        <f aca="false">IF(C71=0,0,0.003*(C71-$D$68)/C71)</f>
        <v>0.00286</v>
      </c>
      <c r="F71" s="44" t="n">
        <f aca="false">IF(C71=0,0,0.003*(C71-$C$68/2)/C71)</f>
        <v>0.0025</v>
      </c>
      <c r="G71" s="44" t="n">
        <f aca="false">IF(C71=0,0,0.003*(C71-$E$68)/C71)</f>
        <v>0.00214</v>
      </c>
      <c r="H71" s="14" t="n">
        <f aca="false">MAX(-Datos!$C$25,MIN(Datos!$C$25,Datos!$C$28*E71))</f>
        <v>420</v>
      </c>
      <c r="I71" s="14" t="n">
        <f aca="false">MAX(-Datos!$C$25,MIN(Datos!$C$25,Datos!$C$28*F71))</f>
        <v>420</v>
      </c>
      <c r="J71" s="14" t="n">
        <f aca="false">MAX(-Datos!$C$25,MIN(Datos!$C$25,Datos!$C$28*G71))</f>
        <v>420</v>
      </c>
      <c r="K71" s="33" t="n">
        <f aca="false">(0.85*Datos!$C$14*$B$68*D71+$F$68*(H71-IF($D$68&lt;D71,0.85*Datos!$C$14,0))+$H$68*(I71-IF($C$68/2&lt;D71,0.85*Datos!$C$14,0))+$G$68*(J71-IF($E$68&lt;D71,0.85*Datos!$C$14,0)))/1000</f>
        <v>2606.04066711767</v>
      </c>
      <c r="L71" s="33" t="n">
        <f aca="false">(0.85*Datos!$C$14*$B$68*D71*($C$68/2-D71/2)+$F$68*(H71-IF($D$68&lt;D71,0.85*Datos!$C$14,0))*($C$68/2-$D$68)+$G$68*(J71-IF($E$68&lt;D71,0.85*Datos!$C$14,0))*($C$68/2-$E$68))/10^6</f>
        <v>0</v>
      </c>
      <c r="M71" s="44" t="n">
        <f aca="false">-G71</f>
        <v>-0.00214</v>
      </c>
      <c r="N71" s="30" t="n">
        <f aca="false">IF(M71&gt;=0.005,0.9,IF(M71&lt;=Datos!$C$25/Datos!$C$28,0.65,0.65+(M71-Datos!$C$25/Datos!$C$28)*0.25/(0.005-Datos!$C$25/Datos!$C$28)))</f>
        <v>0.65</v>
      </c>
      <c r="O71" s="33" t="n">
        <f aca="false">MIN(N71*K71,$J$68)</f>
        <v>1355.14114690119</v>
      </c>
      <c r="P71" s="33" t="n">
        <f aca="false">N71*L71</f>
        <v>0</v>
      </c>
    </row>
    <row r="72" customFormat="false" ht="15" hidden="false" customHeight="false" outlineLevel="0" collapsed="false">
      <c r="B72" s="22" t="n">
        <v>2</v>
      </c>
      <c r="C72" s="14" t="n">
        <f aca="false">B72*$C$68</f>
        <v>800</v>
      </c>
      <c r="D72" s="14" t="n">
        <f aca="false">MIN(Datos!$C$16*C72,$C$68)</f>
        <v>400</v>
      </c>
      <c r="E72" s="44" t="n">
        <f aca="false">IF(C72=0,0,0.003*(C72-$D$68)/C72)</f>
        <v>0.00279</v>
      </c>
      <c r="F72" s="44" t="n">
        <f aca="false">IF(C72=0,0,0.003*(C72-$C$68/2)/C72)</f>
        <v>0.00225</v>
      </c>
      <c r="G72" s="44" t="n">
        <f aca="false">IF(C72=0,0,0.003*(C72-$E$68)/C72)</f>
        <v>0.00171</v>
      </c>
      <c r="H72" s="14" t="n">
        <f aca="false">MAX(-Datos!$C$25,MIN(Datos!$C$25,Datos!$C$28*E72))</f>
        <v>420</v>
      </c>
      <c r="I72" s="14" t="n">
        <f aca="false">MAX(-Datos!$C$25,MIN(Datos!$C$25,Datos!$C$28*F72))</f>
        <v>420</v>
      </c>
      <c r="J72" s="14" t="n">
        <f aca="false">MAX(-Datos!$C$25,MIN(Datos!$C$25,Datos!$C$28*G72))</f>
        <v>342</v>
      </c>
      <c r="K72" s="33" t="n">
        <f aca="false">(0.85*Datos!$C$14*$B$68*D72+$F$68*(H72-IF($D$68&lt;D72,0.85*Datos!$C$14,0))+$H$68*(I72-IF($C$68/2&lt;D72,0.85*Datos!$C$14,0))+$G$68*(J72-IF($E$68&lt;D72,0.85*Datos!$C$14,0)))/1000</f>
        <v>2558.99217553751</v>
      </c>
      <c r="L72" s="33" t="n">
        <f aca="false">(0.85*Datos!$C$14*$B$68*D72*($C$68/2-D72/2)+$F$68*(H72-IF($D$68&lt;D72,0.85*Datos!$C$14,0))*($C$68/2-$D$68)+$G$68*(J72-IF($E$68&lt;D72,0.85*Datos!$C$14,0))*($C$68/2-$E$68))/10^6</f>
        <v>6.77498278754314</v>
      </c>
      <c r="M72" s="44" t="n">
        <f aca="false">-G72</f>
        <v>-0.00171</v>
      </c>
      <c r="N72" s="30" t="n">
        <f aca="false">IF(M72&gt;=0.005,0.9,IF(M72&lt;=Datos!$C$25/Datos!$C$28,0.65,0.65+(M72-Datos!$C$25/Datos!$C$28)*0.25/(0.005-Datos!$C$25/Datos!$C$28)))</f>
        <v>0.65</v>
      </c>
      <c r="O72" s="33" t="n">
        <f aca="false">MIN(N72*K72,$J$68)</f>
        <v>1355.14114690119</v>
      </c>
      <c r="P72" s="33" t="n">
        <f aca="false">N72*L72</f>
        <v>4.40373881190304</v>
      </c>
    </row>
    <row r="73" customFormat="false" ht="15" hidden="false" customHeight="false" outlineLevel="0" collapsed="false">
      <c r="B73" s="22" t="n">
        <v>1.5</v>
      </c>
      <c r="C73" s="14" t="n">
        <f aca="false">B73*$C$68</f>
        <v>600</v>
      </c>
      <c r="D73" s="14" t="n">
        <f aca="false">MIN(Datos!$C$16*C73,$C$68)</f>
        <v>400</v>
      </c>
      <c r="E73" s="44" t="n">
        <f aca="false">IF(C73=0,0,0.003*(C73-$D$68)/C73)</f>
        <v>0.00272</v>
      </c>
      <c r="F73" s="44" t="n">
        <f aca="false">IF(C73=0,0,0.003*(C73-$C$68/2)/C73)</f>
        <v>0.002</v>
      </c>
      <c r="G73" s="44" t="n">
        <f aca="false">IF(C73=0,0,0.003*(C73-$E$68)/C73)</f>
        <v>0.00128</v>
      </c>
      <c r="H73" s="14" t="n">
        <f aca="false">MAX(-Datos!$C$25,MIN(Datos!$C$25,Datos!$C$28*E73))</f>
        <v>420</v>
      </c>
      <c r="I73" s="14" t="n">
        <f aca="false">MAX(-Datos!$C$25,MIN(Datos!$C$25,Datos!$C$28*F73))</f>
        <v>400</v>
      </c>
      <c r="J73" s="14" t="n">
        <f aca="false">MAX(-Datos!$C$25,MIN(Datos!$C$25,Datos!$C$28*G73))</f>
        <v>256</v>
      </c>
      <c r="K73" s="33" t="n">
        <f aca="false">(0.85*Datos!$C$14*$B$68*D73+$F$68*(H73-IF($D$68&lt;D73,0.85*Datos!$C$14,0))+$H$68*(I73-IF($C$68/2&lt;D73,0.85*Datos!$C$14,0))+$G$68*(J73-IF($E$68&lt;D73,0.85*Datos!$C$14,0)))/1000</f>
        <v>2507.11819764143</v>
      </c>
      <c r="L73" s="33" t="n">
        <f aca="false">(0.85*Datos!$C$14*$B$68*D73*($C$68/2-D73/2)+$F$68*(H73-IF($D$68&lt;D73,0.85*Datos!$C$14,0))*($C$68/2-$D$68)+$G$68*(J73-IF($E$68&lt;D73,0.85*Datos!$C$14,0))*($C$68/2-$E$68))/10^6</f>
        <v>14.2448356045779</v>
      </c>
      <c r="M73" s="44" t="n">
        <f aca="false">-G73</f>
        <v>-0.00128</v>
      </c>
      <c r="N73" s="30" t="n">
        <f aca="false">IF(M73&gt;=0.005,0.9,IF(M73&lt;=Datos!$C$25/Datos!$C$28,0.65,0.65+(M73-Datos!$C$25/Datos!$C$28)*0.25/(0.005-Datos!$C$25/Datos!$C$28)))</f>
        <v>0.65</v>
      </c>
      <c r="O73" s="33" t="n">
        <f aca="false">MIN(N73*K73,$J$68)</f>
        <v>1355.14114690119</v>
      </c>
      <c r="P73" s="33" t="n">
        <f aca="false">N73*L73</f>
        <v>9.25914314297564</v>
      </c>
    </row>
    <row r="74" customFormat="false" ht="15" hidden="false" customHeight="false" outlineLevel="0" collapsed="false">
      <c r="B74" s="22" t="n">
        <v>1.2</v>
      </c>
      <c r="C74" s="14" t="n">
        <f aca="false">B74*$C$68</f>
        <v>480</v>
      </c>
      <c r="D74" s="14" t="n">
        <f aca="false">MIN(Datos!$C$16*C74,$C$68)</f>
        <v>400</v>
      </c>
      <c r="E74" s="44" t="n">
        <f aca="false">IF(C74=0,0,0.003*(C74-$D$68)/C74)</f>
        <v>0.00265</v>
      </c>
      <c r="F74" s="44" t="n">
        <f aca="false">IF(C74=0,0,0.003*(C74-$C$68/2)/C74)</f>
        <v>0.00175</v>
      </c>
      <c r="G74" s="44" t="n">
        <f aca="false">IF(C74=0,0,0.003*(C74-$E$68)/C74)</f>
        <v>0.00085</v>
      </c>
      <c r="H74" s="14" t="n">
        <f aca="false">MAX(-Datos!$C$25,MIN(Datos!$C$25,Datos!$C$28*E74))</f>
        <v>420</v>
      </c>
      <c r="I74" s="14" t="n">
        <f aca="false">MAX(-Datos!$C$25,MIN(Datos!$C$25,Datos!$C$28*F74))</f>
        <v>350</v>
      </c>
      <c r="J74" s="14" t="n">
        <f aca="false">MAX(-Datos!$C$25,MIN(Datos!$C$25,Datos!$C$28*G74))</f>
        <v>170</v>
      </c>
      <c r="K74" s="33" t="n">
        <f aca="false">(0.85*Datos!$C$14*$B$68*D74+$F$68*(H74-IF($D$68&lt;D74,0.85*Datos!$C$14,0))+$H$68*(I74-IF($C$68/2&lt;D74,0.85*Datos!$C$14,0))+$G$68*(J74-IF($E$68&lt;D74,0.85*Datos!$C$14,0)))/1000</f>
        <v>2455.24421974536</v>
      </c>
      <c r="L74" s="33" t="n">
        <f aca="false">(0.85*Datos!$C$14*$B$68*D74*($C$68/2-D74/2)+$F$68*(H74-IF($D$68&lt;D74,0.85*Datos!$C$14,0))*($C$68/2-$D$68)+$G$68*(J74-IF($E$68&lt;D74,0.85*Datos!$C$14,0))*($C$68/2-$E$68))/10^6</f>
        <v>21.7146884216127</v>
      </c>
      <c r="M74" s="44" t="n">
        <f aca="false">-G74</f>
        <v>-0.00085</v>
      </c>
      <c r="N74" s="30" t="n">
        <f aca="false">IF(M74&gt;=0.005,0.9,IF(M74&lt;=Datos!$C$25/Datos!$C$28,0.65,0.65+(M74-Datos!$C$25/Datos!$C$28)*0.25/(0.005-Datos!$C$25/Datos!$C$28)))</f>
        <v>0.65</v>
      </c>
      <c r="O74" s="33" t="n">
        <f aca="false">MIN(N74*K74,$J$68)</f>
        <v>1355.14114690119</v>
      </c>
      <c r="P74" s="33" t="n">
        <f aca="false">N74*L74</f>
        <v>14.1145474740482</v>
      </c>
    </row>
    <row r="75" customFormat="false" ht="15" hidden="false" customHeight="false" outlineLevel="0" collapsed="false">
      <c r="B75" s="22" t="n">
        <v>1</v>
      </c>
      <c r="C75" s="14" t="n">
        <f aca="false">B75*$C$68</f>
        <v>400</v>
      </c>
      <c r="D75" s="14" t="n">
        <f aca="false">MIN(Datos!$C$16*C75,$C$68)</f>
        <v>340</v>
      </c>
      <c r="E75" s="44" t="n">
        <f aca="false">IF(C75=0,0,0.003*(C75-$D$68)/C75)</f>
        <v>0.00258</v>
      </c>
      <c r="F75" s="44" t="n">
        <f aca="false">IF(C75=0,0,0.003*(C75-$C$68/2)/C75)</f>
        <v>0.0015</v>
      </c>
      <c r="G75" s="44" t="n">
        <f aca="false">IF(C75=0,0,0.003*(C75-$E$68)/C75)</f>
        <v>0.00042</v>
      </c>
      <c r="H75" s="14" t="n">
        <f aca="false">MAX(-Datos!$C$25,MIN(Datos!$C$25,Datos!$C$28*E75))</f>
        <v>420</v>
      </c>
      <c r="I75" s="14" t="n">
        <f aca="false">MAX(-Datos!$C$25,MIN(Datos!$C$25,Datos!$C$28*F75))</f>
        <v>300</v>
      </c>
      <c r="J75" s="14" t="n">
        <f aca="false">MAX(-Datos!$C$25,MIN(Datos!$C$25,Datos!$C$28*G75))</f>
        <v>84</v>
      </c>
      <c r="K75" s="33" t="n">
        <f aca="false">(0.85*Datos!$C$14*$B$68*D75+$F$68*(H75-IF($D$68&lt;D75,0.85*Datos!$C$14,0))+$H$68*(I75-IF($C$68/2&lt;D75,0.85*Datos!$C$14,0))+$G$68*(J75-IF($E$68&lt;D75,0.85*Datos!$C$14,0)))/1000</f>
        <v>2097.43793987593</v>
      </c>
      <c r="L75" s="33" t="n">
        <f aca="false">(0.85*Datos!$C$14*$B$68*D75*($C$68/2-D75/2)+$F$68*(H75-IF($D$68&lt;D75,0.85*Datos!$C$14,0))*($C$68/2-$D$68)+$G$68*(J75-IF($E$68&lt;D75,0.85*Datos!$C$14,0))*($C$68/2-$E$68))/10^6</f>
        <v>81.5262927228103</v>
      </c>
      <c r="M75" s="44" t="n">
        <f aca="false">-G75</f>
        <v>-0.00042</v>
      </c>
      <c r="N75" s="30" t="n">
        <f aca="false">IF(M75&gt;=0.005,0.9,IF(M75&lt;=Datos!$C$25/Datos!$C$28,0.65,0.65+(M75-Datos!$C$25/Datos!$C$28)*0.25/(0.005-Datos!$C$25/Datos!$C$28)))</f>
        <v>0.65</v>
      </c>
      <c r="O75" s="33" t="n">
        <f aca="false">MIN(N75*K75,$J$68)</f>
        <v>1355.14114690119</v>
      </c>
      <c r="P75" s="33" t="n">
        <f aca="false">N75*L75</f>
        <v>52.9920902698267</v>
      </c>
    </row>
    <row r="76" customFormat="false" ht="15" hidden="false" customHeight="false" outlineLevel="0" collapsed="false">
      <c r="B76" s="22" t="n">
        <v>0.9</v>
      </c>
      <c r="C76" s="14" t="n">
        <f aca="false">B76*$C$68</f>
        <v>360</v>
      </c>
      <c r="D76" s="14" t="n">
        <f aca="false">MIN(Datos!$C$16*C76,$C$68)</f>
        <v>306</v>
      </c>
      <c r="E76" s="44" t="n">
        <f aca="false">IF(C76=0,0,0.003*(C76-$D$68)/C76)</f>
        <v>0.00253333333333333</v>
      </c>
      <c r="F76" s="44" t="n">
        <f aca="false">IF(C76=0,0,0.003*(C76-$C$68/2)/C76)</f>
        <v>0.00133333333333333</v>
      </c>
      <c r="G76" s="44" t="n">
        <f aca="false">IF(C76=0,0,0.003*(C76-$E$68)/C76)</f>
        <v>0.000133333333333333</v>
      </c>
      <c r="H76" s="14" t="n">
        <f aca="false">MAX(-Datos!$C$25,MIN(Datos!$C$25,Datos!$C$28*E76))</f>
        <v>420</v>
      </c>
      <c r="I76" s="14" t="n">
        <f aca="false">MAX(-Datos!$C$25,MIN(Datos!$C$25,Datos!$C$28*F76))</f>
        <v>266.666666666667</v>
      </c>
      <c r="J76" s="14" t="n">
        <f aca="false">MAX(-Datos!$C$25,MIN(Datos!$C$25,Datos!$C$28*G76))</f>
        <v>26.6666666666667</v>
      </c>
      <c r="K76" s="33" t="n">
        <f aca="false">(0.85*Datos!$C$14*$B$68*D76+$F$68*(H76-IF($D$68&lt;D76,0.85*Datos!$C$14,0))+$H$68*(I76-IF($C$68/2&lt;D76,0.85*Datos!$C$14,0))+$G$68*(J76-IF($E$68&lt;D76,0.85*Datos!$C$14,0)))/1000</f>
        <v>1882.23028794521</v>
      </c>
      <c r="L76" s="33" t="n">
        <f aca="false">(0.85*Datos!$C$14*$B$68*D76*($C$68/2-D76/2)+$F$68*(H76-IF($D$68&lt;D76,0.85*Datos!$C$14,0))*($C$68/2-$D$68)+$G$68*(J76-IF($E$68&lt;D76,0.85*Datos!$C$14,0))*($C$68/2-$E$68))/10^6</f>
        <v>108.723069600834</v>
      </c>
      <c r="M76" s="44" t="n">
        <f aca="false">-G76</f>
        <v>-0.000133333333333333</v>
      </c>
      <c r="N76" s="30" t="n">
        <f aca="false">IF(M76&gt;=0.005,0.9,IF(M76&lt;=Datos!$C$25/Datos!$C$28,0.65,0.65+(M76-Datos!$C$25/Datos!$C$28)*0.25/(0.005-Datos!$C$25/Datos!$C$28)))</f>
        <v>0.65</v>
      </c>
      <c r="O76" s="33" t="n">
        <f aca="false">MIN(N76*K76,$J$68)</f>
        <v>1223.44968716439</v>
      </c>
      <c r="P76" s="33" t="n">
        <f aca="false">N76*L76</f>
        <v>70.6699952405418</v>
      </c>
    </row>
    <row r="77" customFormat="false" ht="15" hidden="false" customHeight="false" outlineLevel="0" collapsed="false">
      <c r="B77" s="22" t="n">
        <v>0.8</v>
      </c>
      <c r="C77" s="14" t="n">
        <f aca="false">B77*$C$68</f>
        <v>320</v>
      </c>
      <c r="D77" s="14" t="n">
        <f aca="false">MIN(Datos!$C$16*C77,$C$68)</f>
        <v>272</v>
      </c>
      <c r="E77" s="44" t="n">
        <f aca="false">IF(C77=0,0,0.003*(C77-$D$68)/C77)</f>
        <v>0.002475</v>
      </c>
      <c r="F77" s="44" t="n">
        <f aca="false">IF(C77=0,0,0.003*(C77-$C$68/2)/C77)</f>
        <v>0.001125</v>
      </c>
      <c r="G77" s="44" t="n">
        <f aca="false">IF(C77=0,0,0.003*(C77-$E$68)/C77)</f>
        <v>-0.000225</v>
      </c>
      <c r="H77" s="14" t="n">
        <f aca="false">MAX(-Datos!$C$25,MIN(Datos!$C$25,Datos!$C$28*E77))</f>
        <v>420</v>
      </c>
      <c r="I77" s="14" t="n">
        <f aca="false">MAX(-Datos!$C$25,MIN(Datos!$C$25,Datos!$C$28*F77))</f>
        <v>225</v>
      </c>
      <c r="J77" s="14" t="n">
        <f aca="false">MAX(-Datos!$C$25,MIN(Datos!$C$25,Datos!$C$28*G77))</f>
        <v>-45</v>
      </c>
      <c r="K77" s="33" t="n">
        <f aca="false">(0.85*Datos!$C$14*$B$68*D77+$F$68*(H77-IF($D$68&lt;D77,0.85*Datos!$C$14,0))+$H$68*(I77-IF($C$68/2&lt;D77,0.85*Datos!$C$14,0))+$G$68*(J77-IF($E$68&lt;D77,0.85*Datos!$C$14,0)))/1000</f>
        <v>1658.37697303182</v>
      </c>
      <c r="L77" s="33" t="n">
        <f aca="false">(0.85*Datos!$C$14*$B$68*D77*($C$68/2-D77/2)+$F$68*(H77-IF($D$68&lt;D77,0.85*Datos!$C$14,0))*($C$68/2-$D$68)+$G$68*(J77-IF($E$68&lt;D77,0.85*Datos!$C$14,0))*($C$68/2-$E$68))/10^6</f>
        <v>131.023571948362</v>
      </c>
      <c r="M77" s="44" t="n">
        <f aca="false">-G77</f>
        <v>0.000225</v>
      </c>
      <c r="N77" s="30" t="n">
        <f aca="false">IF(M77&gt;=0.005,0.9,IF(M77&lt;=Datos!$C$25/Datos!$C$28,0.65,0.65+(M77-Datos!$C$25/Datos!$C$28)*0.25/(0.005-Datos!$C$25/Datos!$C$28)))</f>
        <v>0.65</v>
      </c>
      <c r="O77" s="33" t="n">
        <f aca="false">MIN(N77*K77,$J$68)</f>
        <v>1077.94503247068</v>
      </c>
      <c r="P77" s="33" t="n">
        <f aca="false">N77*L77</f>
        <v>85.1653217664356</v>
      </c>
    </row>
    <row r="78" customFormat="false" ht="15" hidden="false" customHeight="false" outlineLevel="0" collapsed="false">
      <c r="B78" s="22" t="n">
        <v>0.7</v>
      </c>
      <c r="C78" s="14" t="n">
        <f aca="false">B78*$C$68</f>
        <v>280</v>
      </c>
      <c r="D78" s="14" t="n">
        <f aca="false">MIN(Datos!$C$16*C78,$C$68)</f>
        <v>238</v>
      </c>
      <c r="E78" s="44" t="n">
        <f aca="false">IF(C78=0,0,0.003*(C78-$D$68)/C78)</f>
        <v>0.0024</v>
      </c>
      <c r="F78" s="44" t="n">
        <f aca="false">IF(C78=0,0,0.003*(C78-$C$68/2)/C78)</f>
        <v>0.000857142857142857</v>
      </c>
      <c r="G78" s="44" t="n">
        <f aca="false">IF(C78=0,0,0.003*(C78-$E$68)/C78)</f>
        <v>-0.000685714285714286</v>
      </c>
      <c r="H78" s="14" t="n">
        <f aca="false">MAX(-Datos!$C$25,MIN(Datos!$C$25,Datos!$C$28*E78))</f>
        <v>420</v>
      </c>
      <c r="I78" s="14" t="n">
        <f aca="false">MAX(-Datos!$C$25,MIN(Datos!$C$25,Datos!$C$28*F78))</f>
        <v>171.428571428571</v>
      </c>
      <c r="J78" s="14" t="n">
        <f aca="false">MAX(-Datos!$C$25,MIN(Datos!$C$25,Datos!$C$28*G78))</f>
        <v>-137.142857142857</v>
      </c>
      <c r="K78" s="33" t="n">
        <f aca="false">(0.85*Datos!$C$14*$B$68*D78+$F$68*(H78-IF($D$68&lt;D78,0.85*Datos!$C$14,0))+$H$68*(I78-IF($C$68/2&lt;D78,0.85*Datos!$C$14,0))+$G$68*(J78-IF($E$68&lt;D78,0.85*Datos!$C$14,0)))/1000</f>
        <v>1422.17271100031</v>
      </c>
      <c r="L78" s="33" t="n">
        <f aca="false">(0.85*Datos!$C$14*$B$68*D78*($C$68/2-D78/2)+$F$68*(H78-IF($D$68&lt;D78,0.85*Datos!$C$14,0))*($C$68/2-$D$68)+$G$68*(J78-IF($E$68&lt;D78,0.85*Datos!$C$14,0))*($C$68/2-$E$68))/10^6</f>
        <v>148.9613606809</v>
      </c>
      <c r="M78" s="44" t="n">
        <f aca="false">-G78</f>
        <v>0.000685714285714286</v>
      </c>
      <c r="N78" s="30" t="n">
        <f aca="false">IF(M78&gt;=0.005,0.9,IF(M78&lt;=Datos!$C$25/Datos!$C$28,0.65,0.65+(M78-Datos!$C$25/Datos!$C$28)*0.25/(0.005-Datos!$C$25/Datos!$C$28)))</f>
        <v>0.65</v>
      </c>
      <c r="O78" s="33" t="n">
        <f aca="false">MIN(N78*K78,$J$68)</f>
        <v>924.412262150202</v>
      </c>
      <c r="P78" s="33" t="n">
        <f aca="false">N78*L78</f>
        <v>96.8248844425848</v>
      </c>
    </row>
    <row r="79" customFormat="false" ht="15" hidden="false" customHeight="false" outlineLevel="0" collapsed="false">
      <c r="B79" s="22" t="n">
        <v>0.6</v>
      </c>
      <c r="C79" s="14" t="n">
        <f aca="false">B79*$C$68</f>
        <v>240</v>
      </c>
      <c r="D79" s="14" t="n">
        <f aca="false">MIN(Datos!$C$16*C79,$C$68)</f>
        <v>204</v>
      </c>
      <c r="E79" s="44" t="n">
        <f aca="false">IF(C79=0,0,0.003*(C79-$D$68)/C79)</f>
        <v>0.0023</v>
      </c>
      <c r="F79" s="44" t="n">
        <f aca="false">IF(C79=0,0,0.003*(C79-$C$68/2)/C79)</f>
        <v>0.0005</v>
      </c>
      <c r="G79" s="44" t="n">
        <f aca="false">IF(C79=0,0,0.003*(C79-$E$68)/C79)</f>
        <v>-0.0013</v>
      </c>
      <c r="H79" s="14" t="n">
        <f aca="false">MAX(-Datos!$C$25,MIN(Datos!$C$25,Datos!$C$28*E79))</f>
        <v>420</v>
      </c>
      <c r="I79" s="14" t="n">
        <f aca="false">MAX(-Datos!$C$25,MIN(Datos!$C$25,Datos!$C$28*F79))</f>
        <v>100</v>
      </c>
      <c r="J79" s="14" t="n">
        <f aca="false">MAX(-Datos!$C$25,MIN(Datos!$C$25,Datos!$C$28*G79))</f>
        <v>-260</v>
      </c>
      <c r="K79" s="33" t="n">
        <f aca="false">(0.85*Datos!$C$14*$B$68*D79+$F$68*(H79-IF($D$68&lt;D79,0.85*Datos!$C$14,0))+$H$68*(I79-IF($C$68/2&lt;D79,0.85*Datos!$C$14,0))+$G$68*(J79-IF($E$68&lt;D79,0.85*Datos!$C$14,0)))/1000</f>
        <v>1167.44202829163</v>
      </c>
      <c r="L79" s="33" t="n">
        <f aca="false">(0.85*Datos!$C$14*$B$68*D79*($C$68/2-D79/2)+$F$68*(H79-IF($D$68&lt;D79,0.85*Datos!$C$14,0))*($C$68/2-$D$68)+$G$68*(J79-IF($E$68&lt;D79,0.85*Datos!$C$14,0))*($C$68/2-$E$68))/10^6</f>
        <v>163.425703990949</v>
      </c>
      <c r="M79" s="44" t="n">
        <f aca="false">-G79</f>
        <v>0.0013</v>
      </c>
      <c r="N79" s="30" t="n">
        <f aca="false">IF(M79&gt;=0.005,0.9,IF(M79&lt;=Datos!$C$25/Datos!$C$28,0.65,0.65+(M79-Datos!$C$25/Datos!$C$28)*0.25/(0.005-Datos!$C$25/Datos!$C$28)))</f>
        <v>0.65</v>
      </c>
      <c r="O79" s="33" t="n">
        <f aca="false">MIN(N79*K79,$J$68)</f>
        <v>758.837318389561</v>
      </c>
      <c r="P79" s="33" t="n">
        <f aca="false">N79*L79</f>
        <v>106.226707594117</v>
      </c>
    </row>
    <row r="80" customFormat="false" ht="15" hidden="false" customHeight="false" outlineLevel="0" collapsed="false">
      <c r="B80" s="22" t="n">
        <v>0.5</v>
      </c>
      <c r="C80" s="14" t="n">
        <f aca="false">B80*$C$68</f>
        <v>200</v>
      </c>
      <c r="D80" s="14" t="n">
        <f aca="false">MIN(Datos!$C$16*C80,$C$68)</f>
        <v>170</v>
      </c>
      <c r="E80" s="44" t="n">
        <f aca="false">IF(C80=0,0,0.003*(C80-$D$68)/C80)</f>
        <v>0.00216</v>
      </c>
      <c r="F80" s="44" t="n">
        <f aca="false">IF(C80=0,0,0.003*(C80-$C$68/2)/C80)</f>
        <v>0</v>
      </c>
      <c r="G80" s="44" t="n">
        <f aca="false">IF(C80=0,0,0.003*(C80-$E$68)/C80)</f>
        <v>-0.00216</v>
      </c>
      <c r="H80" s="14" t="n">
        <f aca="false">MAX(-Datos!$C$25,MIN(Datos!$C$25,Datos!$C$28*E80))</f>
        <v>420</v>
      </c>
      <c r="I80" s="14" t="n">
        <f aca="false">MAX(-Datos!$C$25,MIN(Datos!$C$25,Datos!$C$28*F80))</f>
        <v>0</v>
      </c>
      <c r="J80" s="14" t="n">
        <f aca="false">MAX(-Datos!$C$25,MIN(Datos!$C$25,Datos!$C$28*G80))</f>
        <v>-420</v>
      </c>
      <c r="K80" s="33" t="n">
        <f aca="false">(0.85*Datos!$C$14*$B$68*D80+$F$68*(H80-IF($D$68&lt;D80,0.85*Datos!$C$14,0))+$H$68*(I80-IF($C$68/2&lt;D80,0.85*Datos!$C$14,0))+$G$68*(J80-IF($E$68&lt;D80,0.85*Datos!$C$14,0)))/1000</f>
        <v>890.307301973354</v>
      </c>
      <c r="L80" s="33" t="n">
        <f aca="false">(0.85*Datos!$C$14*$B$68*D80*($C$68/2-D80/2)+$F$68*(H80-IF($D$68&lt;D80,0.85*Datos!$C$14,0))*($C$68/2-$D$68)+$G$68*(J80-IF($E$68&lt;D80,0.85*Datos!$C$14,0))*($C$68/2-$E$68))/10^6</f>
        <v>174.974979580781</v>
      </c>
      <c r="M80" s="44" t="n">
        <f aca="false">-G80</f>
        <v>0.00216</v>
      </c>
      <c r="N80" s="30" t="n">
        <f aca="false">IF(M80&gt;=0.005,0.9,IF(M80&lt;=Datos!$C$25/Datos!$C$28,0.65,0.65+(M80-Datos!$C$25/Datos!$C$28)*0.25/(0.005-Datos!$C$25/Datos!$C$28)))</f>
        <v>0.655172413793104</v>
      </c>
      <c r="O80" s="33" t="n">
        <f aca="false">MIN(N80*K80,$J$68)</f>
        <v>583.304784051508</v>
      </c>
      <c r="P80" s="33" t="n">
        <f aca="false">N80*L80</f>
        <v>114.63877972534</v>
      </c>
    </row>
    <row r="81" customFormat="false" ht="15" hidden="false" customHeight="false" outlineLevel="0" collapsed="false">
      <c r="B81" s="22" t="n">
        <v>0.45</v>
      </c>
      <c r="C81" s="14" t="n">
        <f aca="false">B81*$C$68</f>
        <v>180</v>
      </c>
      <c r="D81" s="14" t="n">
        <f aca="false">MIN(Datos!$C$16*C81,$C$68)</f>
        <v>153</v>
      </c>
      <c r="E81" s="44" t="n">
        <f aca="false">IF(C81=0,0,0.003*(C81-$D$68)/C81)</f>
        <v>0.00206666666666667</v>
      </c>
      <c r="F81" s="44" t="n">
        <f aca="false">IF(C81=0,0,0.003*(C81-$C$68/2)/C81)</f>
        <v>-0.000333333333333333</v>
      </c>
      <c r="G81" s="44" t="n">
        <f aca="false">IF(C81=0,0,0.003*(C81-$E$68)/C81)</f>
        <v>-0.00273333333333333</v>
      </c>
      <c r="H81" s="14" t="n">
        <f aca="false">MAX(-Datos!$C$25,MIN(Datos!$C$25,Datos!$C$28*E81))</f>
        <v>413.333333333333</v>
      </c>
      <c r="I81" s="14" t="n">
        <f aca="false">MAX(-Datos!$C$25,MIN(Datos!$C$25,Datos!$C$28*F81))</f>
        <v>-66.6666666666667</v>
      </c>
      <c r="J81" s="14" t="n">
        <f aca="false">MAX(-Datos!$C$25,MIN(Datos!$C$25,Datos!$C$28*G81))</f>
        <v>-420</v>
      </c>
      <c r="K81" s="33" t="n">
        <f aca="false">(0.85*Datos!$C$14*$B$68*D81+$F$68*(H81-IF($D$68&lt;D81,0.85*Datos!$C$14,0))+$H$68*(I81-IF($C$68/2&lt;D81,0.85*Datos!$C$14,0))+$G$68*(J81-IF($E$68&lt;D81,0.85*Datos!$C$14,0)))/1000</f>
        <v>795.973563376759</v>
      </c>
      <c r="L81" s="33" t="n">
        <f aca="false">(0.85*Datos!$C$14*$B$68*D81*($C$68/2-D81/2)+$F$68*(H81-IF($D$68&lt;D81,0.85*Datos!$C$14,0))*($C$68/2-$D$68)+$G$68*(J81-IF($E$68&lt;D81,0.85*Datos!$C$14,0))*($C$68/2-$E$68))/10^6</f>
        <v>170.918889972872</v>
      </c>
      <c r="M81" s="44" t="n">
        <f aca="false">-G81</f>
        <v>0.00273333333333333</v>
      </c>
      <c r="N81" s="30" t="n">
        <f aca="false">IF(M81&gt;=0.005,0.9,IF(M81&lt;=Datos!$C$25/Datos!$C$28,0.65,0.65+(M81-Datos!$C$25/Datos!$C$28)*0.25/(0.005-Datos!$C$25/Datos!$C$28)))</f>
        <v>0.704597701149425</v>
      </c>
      <c r="O81" s="33" t="n">
        <f aca="false">MIN(N81*K81,$J$68)</f>
        <v>560.841142930981</v>
      </c>
      <c r="P81" s="33" t="n">
        <f aca="false">N81*L81</f>
        <v>120.429056957897</v>
      </c>
    </row>
    <row r="82" customFormat="false" ht="15" hidden="false" customHeight="false" outlineLevel="0" collapsed="false">
      <c r="B82" s="22" t="n">
        <v>0.4</v>
      </c>
      <c r="C82" s="14" t="n">
        <f aca="false">B82*$C$68</f>
        <v>160</v>
      </c>
      <c r="D82" s="14" t="n">
        <f aca="false">MIN(Datos!$C$16*C82,$C$68)</f>
        <v>136</v>
      </c>
      <c r="E82" s="44" t="n">
        <f aca="false">IF(C82=0,0,0.003*(C82-$D$68)/C82)</f>
        <v>0.00195</v>
      </c>
      <c r="F82" s="44" t="n">
        <f aca="false">IF(C82=0,0,0.003*(C82-$C$68/2)/C82)</f>
        <v>-0.00075</v>
      </c>
      <c r="G82" s="44" t="n">
        <f aca="false">IF(C82=0,0,0.003*(C82-$E$68)/C82)</f>
        <v>-0.00345</v>
      </c>
      <c r="H82" s="14" t="n">
        <f aca="false">MAX(-Datos!$C$25,MIN(Datos!$C$25,Datos!$C$28*E82))</f>
        <v>390</v>
      </c>
      <c r="I82" s="14" t="n">
        <f aca="false">MAX(-Datos!$C$25,MIN(Datos!$C$25,Datos!$C$28*F82))</f>
        <v>-150</v>
      </c>
      <c r="J82" s="14" t="n">
        <f aca="false">MAX(-Datos!$C$25,MIN(Datos!$C$25,Datos!$C$28*G82))</f>
        <v>-420</v>
      </c>
      <c r="K82" s="33" t="n">
        <f aca="false">(0.85*Datos!$C$14*$B$68*D82+$F$68*(H82-IF($D$68&lt;D82,0.85*Datos!$C$14,0))+$H$68*(I82-IF($C$68/2&lt;D82,0.85*Datos!$C$14,0))+$G$68*(J82-IF($E$68&lt;D82,0.85*Datos!$C$14,0)))/1000</f>
        <v>691.586728288677</v>
      </c>
      <c r="L82" s="33" t="n">
        <f aca="false">(0.85*Datos!$C$14*$B$68*D82*($C$68/2-D82/2)+$F$68*(H82-IF($D$68&lt;D82,0.85*Datos!$C$14,0))*($C$68/2-$D$68)+$G$68*(J82-IF($E$68&lt;D82,0.85*Datos!$C$14,0))*($C$68/2-$E$68))/10^6</f>
        <v>163.879841970188</v>
      </c>
      <c r="M82" s="44" t="n">
        <f aca="false">-G82</f>
        <v>0.00345</v>
      </c>
      <c r="N82" s="30" t="n">
        <f aca="false">IF(M82&gt;=0.005,0.9,IF(M82&lt;=Datos!$C$25/Datos!$C$28,0.65,0.65+(M82-Datos!$C$25/Datos!$C$28)*0.25/(0.005-Datos!$C$25/Datos!$C$28)))</f>
        <v>0.766379310344828</v>
      </c>
      <c r="O82" s="33" t="n">
        <f aca="false">MIN(N82*K82,$J$68)</f>
        <v>530.017759869512</v>
      </c>
      <c r="P82" s="33" t="n">
        <f aca="false">N82*L82</f>
        <v>125.594120268532</v>
      </c>
    </row>
    <row r="83" customFormat="false" ht="15" hidden="false" customHeight="false" outlineLevel="0" collapsed="false">
      <c r="B83" s="22" t="n">
        <v>0.35</v>
      </c>
      <c r="C83" s="14" t="n">
        <f aca="false">B83*$C$68</f>
        <v>140</v>
      </c>
      <c r="D83" s="14" t="n">
        <f aca="false">MIN(Datos!$C$16*C83,$C$68)</f>
        <v>119</v>
      </c>
      <c r="E83" s="44" t="n">
        <f aca="false">IF(C83=0,0,0.003*(C83-$D$68)/C83)</f>
        <v>0.0018</v>
      </c>
      <c r="F83" s="44" t="n">
        <f aca="false">IF(C83=0,0,0.003*(C83-$C$68/2)/C83)</f>
        <v>-0.00128571428571429</v>
      </c>
      <c r="G83" s="44" t="n">
        <f aca="false">IF(C83=0,0,0.003*(C83-$E$68)/C83)</f>
        <v>-0.00437142857142857</v>
      </c>
      <c r="H83" s="14" t="n">
        <f aca="false">MAX(-Datos!$C$25,MIN(Datos!$C$25,Datos!$C$28*E83))</f>
        <v>360</v>
      </c>
      <c r="I83" s="14" t="n">
        <f aca="false">MAX(-Datos!$C$25,MIN(Datos!$C$25,Datos!$C$28*F83))</f>
        <v>-257.142857142857</v>
      </c>
      <c r="J83" s="14" t="n">
        <f aca="false">MAX(-Datos!$C$25,MIN(Datos!$C$25,Datos!$C$28*G83))</f>
        <v>-420</v>
      </c>
      <c r="K83" s="33" t="n">
        <f aca="false">(0.85*Datos!$C$14*$B$68*D83+$F$68*(H83-IF($D$68&lt;D83,0.85*Datos!$C$14,0))+$H$68*(I83-IF($C$68/2&lt;D83,0.85*Datos!$C$14,0))+$G$68*(J83-IF($E$68&lt;D83,0.85*Datos!$C$14,0)))/1000</f>
        <v>583.178654603999</v>
      </c>
      <c r="L83" s="33" t="n">
        <f aca="false">(0.85*Datos!$C$14*$B$68*D83*($C$68/2-D83/2)+$F$68*(H83-IF($D$68&lt;D83,0.85*Datos!$C$14,0))*($C$68/2-$D$68)+$G$68*(J83-IF($E$68&lt;D83,0.85*Datos!$C$14,0))*($C$68/2-$E$68))/10^6</f>
        <v>154.726423109594</v>
      </c>
      <c r="M83" s="44" t="n">
        <f aca="false">-G83</f>
        <v>0.00437142857142857</v>
      </c>
      <c r="N83" s="30" t="n">
        <f aca="false">IF(M83&gt;=0.005,0.9,IF(M83&lt;=Datos!$C$25/Datos!$C$28,0.65,0.65+(M83-Datos!$C$25/Datos!$C$28)*0.25/(0.005-Datos!$C$25/Datos!$C$28)))</f>
        <v>0.845812807881773</v>
      </c>
      <c r="O83" s="33" t="n">
        <f aca="false">MIN(N83*K83,$J$68)</f>
        <v>493.259975347323</v>
      </c>
      <c r="P83" s="33" t="n">
        <f aca="false">N83*L83</f>
        <v>130.869590383829</v>
      </c>
    </row>
    <row r="84" customFormat="false" ht="15" hidden="false" customHeight="false" outlineLevel="0" collapsed="false">
      <c r="B84" s="22" t="n">
        <v>0.3</v>
      </c>
      <c r="C84" s="14" t="n">
        <f aca="false">B84*$C$68</f>
        <v>120</v>
      </c>
      <c r="D84" s="14" t="n">
        <f aca="false">MIN(Datos!$C$16*C84,$C$68)</f>
        <v>102</v>
      </c>
      <c r="E84" s="44" t="n">
        <f aca="false">IF(C84=0,0,0.003*(C84-$D$68)/C84)</f>
        <v>0.0016</v>
      </c>
      <c r="F84" s="44" t="n">
        <f aca="false">IF(C84=0,0,0.003*(C84-$C$68/2)/C84)</f>
        <v>-0.002</v>
      </c>
      <c r="G84" s="44" t="n">
        <f aca="false">IF(C84=0,0,0.003*(C84-$E$68)/C84)</f>
        <v>-0.0056</v>
      </c>
      <c r="H84" s="14" t="n">
        <f aca="false">MAX(-Datos!$C$25,MIN(Datos!$C$25,Datos!$C$28*E84))</f>
        <v>320</v>
      </c>
      <c r="I84" s="14" t="n">
        <f aca="false">MAX(-Datos!$C$25,MIN(Datos!$C$25,Datos!$C$28*F84))</f>
        <v>-400</v>
      </c>
      <c r="J84" s="14" t="n">
        <f aca="false">MAX(-Datos!$C$25,MIN(Datos!$C$25,Datos!$C$28*G84))</f>
        <v>-420</v>
      </c>
      <c r="K84" s="33" t="n">
        <f aca="false">(0.85*Datos!$C$14*$B$68*D84+$F$68*(H84-IF($D$68&lt;D84,0.85*Datos!$C$14,0))+$H$68*(I84-IF($C$68/2&lt;D84,0.85*Datos!$C$14,0))+$G$68*(J84-IF($E$68&lt;D84,0.85*Datos!$C$14,0)))/1000</f>
        <v>468.73872302443</v>
      </c>
      <c r="L84" s="33" t="n">
        <f aca="false">(0.85*Datos!$C$14*$B$68*D84*($C$68/2-D84/2)+$F$68*(H84-IF($D$68&lt;D84,0.85*Datos!$C$14,0))*($C$68/2-$D$68)+$G$68*(J84-IF($E$68&lt;D84,0.85*Datos!$C$14,0))*($C$68/2-$E$68))/10^6</f>
        <v>143.169104212136</v>
      </c>
      <c r="M84" s="44" t="n">
        <f aca="false">-G84</f>
        <v>0.0056</v>
      </c>
      <c r="N84" s="30" t="n">
        <f aca="false">IF(M84&gt;=0.005,0.9,IF(M84&lt;=Datos!$C$25/Datos!$C$28,0.65,0.65+(M84-Datos!$C$25/Datos!$C$28)*0.25/(0.005-Datos!$C$25/Datos!$C$28)))</f>
        <v>0.9</v>
      </c>
      <c r="O84" s="33" t="n">
        <f aca="false">MIN(N84*K84,$J$68)</f>
        <v>421.864850721987</v>
      </c>
      <c r="P84" s="33" t="n">
        <f aca="false">N84*L84</f>
        <v>128.852193790923</v>
      </c>
    </row>
    <row r="85" customFormat="false" ht="15" hidden="false" customHeight="false" outlineLevel="0" collapsed="false">
      <c r="B85" s="22" t="n">
        <v>0.25</v>
      </c>
      <c r="C85" s="14" t="n">
        <f aca="false">B85*$C$68</f>
        <v>100</v>
      </c>
      <c r="D85" s="14" t="n">
        <f aca="false">MIN(Datos!$C$16*C85,$C$68)</f>
        <v>85</v>
      </c>
      <c r="E85" s="44" t="n">
        <f aca="false">IF(C85=0,0,0.003*(C85-$D$68)/C85)</f>
        <v>0.00132</v>
      </c>
      <c r="F85" s="44" t="n">
        <f aca="false">IF(C85=0,0,0.003*(C85-$C$68/2)/C85)</f>
        <v>-0.003</v>
      </c>
      <c r="G85" s="44" t="n">
        <f aca="false">IF(C85=0,0,0.003*(C85-$E$68)/C85)</f>
        <v>-0.00732</v>
      </c>
      <c r="H85" s="14" t="n">
        <f aca="false">MAX(-Datos!$C$25,MIN(Datos!$C$25,Datos!$C$28*E85))</f>
        <v>264</v>
      </c>
      <c r="I85" s="14" t="n">
        <f aca="false">MAX(-Datos!$C$25,MIN(Datos!$C$25,Datos!$C$28*F85))</f>
        <v>-420</v>
      </c>
      <c r="J85" s="14" t="n">
        <f aca="false">MAX(-Datos!$C$25,MIN(Datos!$C$25,Datos!$C$28*G85))</f>
        <v>-420</v>
      </c>
      <c r="K85" s="33" t="n">
        <f aca="false">(0.85*Datos!$C$14*$B$68*D85+$F$68*(H85-IF($D$68&lt;D85,0.85*Datos!$C$14,0))+$H$68*(I85-IF($C$68/2&lt;D85,0.85*Datos!$C$14,0))+$G$68*(J85-IF($E$68&lt;D85,0.85*Datos!$C$14,0)))/1000</f>
        <v>344.647818813032</v>
      </c>
      <c r="L85" s="33" t="n">
        <f aca="false">(0.85*Datos!$C$14*$B$68*D85*($C$68/2-D85/2)+$F$68*(H85-IF($D$68&lt;D85,0.85*Datos!$C$14,0))*($C$68/2-$D$68)+$G$68*(J85-IF($E$68&lt;D85,0.85*Datos!$C$14,0))*($C$68/2-$E$68))/10^6</f>
        <v>128.686732755695</v>
      </c>
      <c r="M85" s="44" t="n">
        <f aca="false">-G85</f>
        <v>0.00732</v>
      </c>
      <c r="N85" s="30" t="n">
        <f aca="false">IF(M85&gt;=0.005,0.9,IF(M85&lt;=Datos!$C$25/Datos!$C$28,0.65,0.65+(M85-Datos!$C$25/Datos!$C$28)*0.25/(0.005-Datos!$C$25/Datos!$C$28)))</f>
        <v>0.9</v>
      </c>
      <c r="O85" s="33" t="n">
        <f aca="false">MIN(N85*K85,$J$68)</f>
        <v>310.183036931729</v>
      </c>
      <c r="P85" s="33" t="n">
        <f aca="false">N85*L85</f>
        <v>115.818059480126</v>
      </c>
    </row>
    <row r="86" customFormat="false" ht="15" hidden="false" customHeight="false" outlineLevel="0" collapsed="false">
      <c r="B86" s="22" t="n">
        <v>0.2</v>
      </c>
      <c r="C86" s="14" t="n">
        <f aca="false">B86*$C$68</f>
        <v>80</v>
      </c>
      <c r="D86" s="14" t="n">
        <f aca="false">MIN(Datos!$C$16*C86,$C$68)</f>
        <v>68</v>
      </c>
      <c r="E86" s="44" t="n">
        <f aca="false">IF(C86=0,0,0.003*(C86-$D$68)/C86)</f>
        <v>0.0009</v>
      </c>
      <c r="F86" s="44" t="n">
        <f aca="false">IF(C86=0,0,0.003*(C86-$C$68/2)/C86)</f>
        <v>-0.0045</v>
      </c>
      <c r="G86" s="44" t="n">
        <f aca="false">IF(C86=0,0,0.003*(C86-$E$68)/C86)</f>
        <v>-0.0099</v>
      </c>
      <c r="H86" s="14" t="n">
        <f aca="false">MAX(-Datos!$C$25,MIN(Datos!$C$25,Datos!$C$28*E86))</f>
        <v>180</v>
      </c>
      <c r="I86" s="14" t="n">
        <f aca="false">MAX(-Datos!$C$25,MIN(Datos!$C$25,Datos!$C$28*F86))</f>
        <v>-420</v>
      </c>
      <c r="J86" s="14" t="n">
        <f aca="false">MAX(-Datos!$C$25,MIN(Datos!$C$25,Datos!$C$28*G86))</f>
        <v>-420</v>
      </c>
      <c r="K86" s="33" t="n">
        <f aca="false">(0.85*Datos!$C$14*$B$68*D86+$F$68*(H86-IF($D$68&lt;D86,0.85*Datos!$C$14,0))+$H$68*(I86-IF($C$68/2&lt;D86,0.85*Datos!$C$14,0))+$G$68*(J86-IF($E$68&lt;D86,0.85*Datos!$C$14,0)))/1000</f>
        <v>203.667712495936</v>
      </c>
      <c r="L86" s="33" t="n">
        <f aca="false">(0.85*Datos!$C$14*$B$68*D86*($C$68/2-D86/2)+$F$68*(H86-IF($D$68&lt;D86,0.85*Datos!$C$14,0))*($C$68/2-$D$68)+$G$68*(J86-IF($E$68&lt;D86,0.85*Datos!$C$14,0))*($C$68/2-$E$68))/10^6</f>
        <v>110.237003696033</v>
      </c>
      <c r="M86" s="44" t="n">
        <f aca="false">-G86</f>
        <v>0.0099</v>
      </c>
      <c r="N86" s="30" t="n">
        <f aca="false">IF(M86&gt;=0.005,0.9,IF(M86&lt;=Datos!$C$25/Datos!$C$28,0.65,0.65+(M86-Datos!$C$25/Datos!$C$28)*0.25/(0.005-Datos!$C$25/Datos!$C$28)))</f>
        <v>0.9</v>
      </c>
      <c r="O86" s="33" t="n">
        <f aca="false">MIN(N86*K86,$J$68)</f>
        <v>183.300941246342</v>
      </c>
      <c r="P86" s="33" t="n">
        <f aca="false">N86*L86</f>
        <v>99.21330332643</v>
      </c>
    </row>
    <row r="87" customFormat="false" ht="15" hidden="false" customHeight="false" outlineLevel="0" collapsed="false">
      <c r="B87" s="22" t="n">
        <v>0.15</v>
      </c>
      <c r="C87" s="14" t="n">
        <f aca="false">B87*$C$68</f>
        <v>60</v>
      </c>
      <c r="D87" s="14" t="n">
        <f aca="false">MIN(Datos!$C$16*C87,$C$68)</f>
        <v>51</v>
      </c>
      <c r="E87" s="44" t="n">
        <f aca="false">IF(C87=0,0,0.003*(C87-$D$68)/C87)</f>
        <v>0.0002</v>
      </c>
      <c r="F87" s="44" t="n">
        <f aca="false">IF(C87=0,0,0.003*(C87-$C$68/2)/C87)</f>
        <v>-0.007</v>
      </c>
      <c r="G87" s="44" t="n">
        <f aca="false">IF(C87=0,0,0.003*(C87-$E$68)/C87)</f>
        <v>-0.0142</v>
      </c>
      <c r="H87" s="14" t="n">
        <f aca="false">MAX(-Datos!$C$25,MIN(Datos!$C$25,Datos!$C$28*E87))</f>
        <v>40</v>
      </c>
      <c r="I87" s="14" t="n">
        <f aca="false">MAX(-Datos!$C$25,MIN(Datos!$C$25,Datos!$C$28*F87))</f>
        <v>-420</v>
      </c>
      <c r="J87" s="14" t="n">
        <f aca="false">MAX(-Datos!$C$25,MIN(Datos!$C$25,Datos!$C$28*G87))</f>
        <v>-420</v>
      </c>
      <c r="K87" s="33" t="n">
        <f aca="false">(0.85*Datos!$C$14*$B$68*D87+$F$68*(H87-IF($D$68&lt;D87,0.85*Datos!$C$14,0))+$H$68*(I87-IF($C$68/2&lt;D87,0.85*Datos!$C$14,0))+$G$68*(J87-IF($E$68&lt;D87,0.85*Datos!$C$14,0)))/1000</f>
        <v>41.7268999940887</v>
      </c>
      <c r="L87" s="33" t="n">
        <f aca="false">(0.85*Datos!$C$14*$B$68*D87*($C$68/2-D87/2)+$F$68*(H87-IF($D$68&lt;D87,0.85*Datos!$C$14,0))*($C$68/2-$D$68)+$G$68*(J87-IF($E$68&lt;D87,0.85*Datos!$C$14,0))*($C$68/2-$E$68))/10^6</f>
        <v>87.2336204457673</v>
      </c>
      <c r="M87" s="44" t="n">
        <f aca="false">-G87</f>
        <v>0.0142</v>
      </c>
      <c r="N87" s="30" t="n">
        <f aca="false">IF(M87&gt;=0.005,0.9,IF(M87&lt;=Datos!$C$25/Datos!$C$28,0.65,0.65+(M87-Datos!$C$25/Datos!$C$28)*0.25/(0.005-Datos!$C$25/Datos!$C$28)))</f>
        <v>0.9</v>
      </c>
      <c r="O87" s="33" t="n">
        <f aca="false">MIN(N87*K87,$J$68)</f>
        <v>37.5542099946798</v>
      </c>
      <c r="P87" s="33" t="n">
        <f aca="false">N87*L87</f>
        <v>78.5102584011906</v>
      </c>
    </row>
    <row r="88" customFormat="false" ht="15" hidden="false" customHeight="false" outlineLevel="0" collapsed="false">
      <c r="B88" s="22" t="n">
        <v>0.1</v>
      </c>
      <c r="C88" s="14" t="n">
        <f aca="false">B88*$C$68</f>
        <v>40</v>
      </c>
      <c r="D88" s="14" t="n">
        <f aca="false">MIN(Datos!$C$16*C88,$C$68)</f>
        <v>34</v>
      </c>
      <c r="E88" s="44" t="n">
        <f aca="false">IF(C88=0,0,0.003*(C88-$D$68)/C88)</f>
        <v>-0.0012</v>
      </c>
      <c r="F88" s="44" t="n">
        <f aca="false">IF(C88=0,0,0.003*(C88-$C$68/2)/C88)</f>
        <v>-0.012</v>
      </c>
      <c r="G88" s="44" t="n">
        <f aca="false">IF(C88=0,0,0.003*(C88-$E$68)/C88)</f>
        <v>-0.0228</v>
      </c>
      <c r="H88" s="14" t="n">
        <f aca="false">MAX(-Datos!$C$25,MIN(Datos!$C$25,Datos!$C$28*E88))</f>
        <v>-240</v>
      </c>
      <c r="I88" s="14" t="n">
        <f aca="false">MAX(-Datos!$C$25,MIN(Datos!$C$25,Datos!$C$28*F88))</f>
        <v>-420</v>
      </c>
      <c r="J88" s="14" t="n">
        <f aca="false">MAX(-Datos!$C$25,MIN(Datos!$C$25,Datos!$C$28*G88))</f>
        <v>-420</v>
      </c>
      <c r="K88" s="33" t="n">
        <f aca="false">(0.85*Datos!$C$14*$B$68*D88+$F$68*(H88-IF($D$68&lt;D88,0.85*Datos!$C$14,0))+$H$68*(I88-IF($C$68/2&lt;D88,0.85*Datos!$C$14,0))+$G$68*(J88-IF($E$68&lt;D88,0.85*Datos!$C$14,0)))/1000</f>
        <v>-217.477621062899</v>
      </c>
      <c r="L88" s="33" t="n">
        <f aca="false">(0.85*Datos!$C$14*$B$68*D88*($C$68/2-D88/2)+$F$68*(H88-IF($D$68&lt;D88,0.85*Datos!$C$14,0))*($C$68/2-$D$68)+$G$68*(J88-IF($E$68&lt;D88,0.85*Datos!$C$14,0))*($C$68/2-$E$68))/10^6</f>
        <v>48.6889506635611</v>
      </c>
      <c r="M88" s="44" t="n">
        <f aca="false">-G88</f>
        <v>0.0228</v>
      </c>
      <c r="N88" s="30" t="n">
        <f aca="false">IF(M88&gt;=0.005,0.9,IF(M88&lt;=Datos!$C$25/Datos!$C$28,0.65,0.65+(M88-Datos!$C$25/Datos!$C$28)*0.25/(0.005-Datos!$C$25/Datos!$C$28)))</f>
        <v>0.9</v>
      </c>
      <c r="O88" s="33" t="n">
        <f aca="false">MIN(N88*K88,$J$68)</f>
        <v>-195.729858956609</v>
      </c>
      <c r="P88" s="33" t="n">
        <f aca="false">N88*L88</f>
        <v>43.820055597205</v>
      </c>
    </row>
    <row r="89" customFormat="false" ht="15" hidden="false" customHeight="false" outlineLevel="0" collapsed="false">
      <c r="B89" s="22" t="n">
        <v>0.05</v>
      </c>
      <c r="C89" s="14" t="n">
        <f aca="false">B89*$C$68</f>
        <v>20</v>
      </c>
      <c r="D89" s="14" t="n">
        <f aca="false">MIN(Datos!$C$16*C89,$C$68)</f>
        <v>17</v>
      </c>
      <c r="E89" s="44" t="n">
        <f aca="false">IF(C89=0,0,0.003*(C89-$D$68)/C89)</f>
        <v>-0.0054</v>
      </c>
      <c r="F89" s="44" t="n">
        <f aca="false">IF(C89=0,0,0.003*(C89-$C$68/2)/C89)</f>
        <v>-0.027</v>
      </c>
      <c r="G89" s="44" t="n">
        <f aca="false">IF(C89=0,0,0.003*(C89-$E$68)/C89)</f>
        <v>-0.0486</v>
      </c>
      <c r="H89" s="14" t="n">
        <f aca="false">MAX(-Datos!$C$25,MIN(Datos!$C$25,Datos!$C$28*E89))</f>
        <v>-420</v>
      </c>
      <c r="I89" s="14" t="n">
        <f aca="false">MAX(-Datos!$C$25,MIN(Datos!$C$25,Datos!$C$28*F89))</f>
        <v>-420</v>
      </c>
      <c r="J89" s="14" t="n">
        <f aca="false">MAX(-Datos!$C$25,MIN(Datos!$C$25,Datos!$C$28*G89))</f>
        <v>-420</v>
      </c>
      <c r="K89" s="33" t="n">
        <f aca="false">(0.85*Datos!$C$14*$B$68*D89+$F$68*(H89-IF($D$68&lt;D89,0.85*Datos!$C$14,0))+$H$68*(I89-IF($C$68/2&lt;D89,0.85*Datos!$C$14,0))+$G$68*(J89-IF($E$68&lt;D89,0.85*Datos!$C$14,0)))/1000</f>
        <v>-416.363563170962</v>
      </c>
      <c r="L89" s="33" t="n">
        <f aca="false">(0.85*Datos!$C$14*$B$68*D89*($C$68/2-D89/2)+$F$68*(H89-IF($D$68&lt;D89,0.85*Datos!$C$14,0))*($C$68/2-$D$68)+$G$68*(J89-IF($E$68&lt;D89,0.85*Datos!$C$14,0))*($C$68/2-$E$68))/10^6</f>
        <v>17.29484375</v>
      </c>
      <c r="M89" s="44" t="n">
        <f aca="false">-G89</f>
        <v>0.0486</v>
      </c>
      <c r="N89" s="30" t="n">
        <f aca="false">IF(M89&gt;=0.005,0.9,IF(M89&lt;=Datos!$C$25/Datos!$C$28,0.65,0.65+(M89-Datos!$C$25/Datos!$C$28)*0.25/(0.005-Datos!$C$25/Datos!$C$28)))</f>
        <v>0.9</v>
      </c>
      <c r="O89" s="33" t="n">
        <f aca="false">MIN(N89*K89,$J$68)</f>
        <v>-374.727206853866</v>
      </c>
      <c r="P89" s="33" t="n">
        <f aca="false">N89*L89</f>
        <v>15.565359375</v>
      </c>
    </row>
    <row r="90" customFormat="false" ht="15" hidden="false" customHeight="false" outlineLevel="0" collapsed="false">
      <c r="B90" s="22" t="n">
        <v>0.02</v>
      </c>
      <c r="C90" s="14" t="n">
        <f aca="false">B90*$C$68</f>
        <v>8</v>
      </c>
      <c r="D90" s="14" t="n">
        <f aca="false">MIN(Datos!$C$16*C90,$C$68)</f>
        <v>6.8</v>
      </c>
      <c r="E90" s="44" t="n">
        <f aca="false">IF(C90=0,0,0.003*(C90-$D$68)/C90)</f>
        <v>-0.018</v>
      </c>
      <c r="F90" s="44" t="n">
        <f aca="false">IF(C90=0,0,0.003*(C90-$C$68/2)/C90)</f>
        <v>-0.072</v>
      </c>
      <c r="G90" s="44" t="n">
        <f aca="false">IF(C90=0,0,0.003*(C90-$E$68)/C90)</f>
        <v>-0.126</v>
      </c>
      <c r="H90" s="14" t="n">
        <f aca="false">MAX(-Datos!$C$25,MIN(Datos!$C$25,Datos!$C$28*E90))</f>
        <v>-420</v>
      </c>
      <c r="I90" s="14" t="n">
        <f aca="false">MAX(-Datos!$C$25,MIN(Datos!$C$25,Datos!$C$28*F90))</f>
        <v>-420</v>
      </c>
      <c r="J90" s="14" t="n">
        <f aca="false">MAX(-Datos!$C$25,MIN(Datos!$C$25,Datos!$C$28*G90))</f>
        <v>-420</v>
      </c>
      <c r="K90" s="33" t="n">
        <f aca="false">(0.85*Datos!$C$14*$B$68*D90+$F$68*(H90-IF($D$68&lt;D90,0.85*Datos!$C$14,0))+$H$68*(I90-IF($C$68/2&lt;D90,0.85*Datos!$C$14,0))+$G$68*(J90-IF($E$68&lt;D90,0.85*Datos!$C$14,0)))/1000</f>
        <v>-470.551063170962</v>
      </c>
      <c r="L90" s="33" t="n">
        <f aca="false">(0.85*Datos!$C$14*$B$68*D90*($C$68/2-D90/2)+$F$68*(H90-IF($D$68&lt;D90,0.85*Datos!$C$14,0))*($C$68/2-$D$68)+$G$68*(J90-IF($E$68&lt;D90,0.85*Datos!$C$14,0))*($C$68/2-$E$68))/10^6</f>
        <v>7.102175</v>
      </c>
      <c r="M90" s="44" t="n">
        <f aca="false">-G90</f>
        <v>0.126</v>
      </c>
      <c r="N90" s="30" t="n">
        <f aca="false">IF(M90&gt;=0.005,0.9,IF(M90&lt;=Datos!$C$25/Datos!$C$28,0.65,0.65+(M90-Datos!$C$25/Datos!$C$28)*0.25/(0.005-Datos!$C$25/Datos!$C$28)))</f>
        <v>0.9</v>
      </c>
      <c r="O90" s="33" t="n">
        <f aca="false">MIN(N90*K90,$J$68)</f>
        <v>-423.495956853866</v>
      </c>
      <c r="P90" s="33" t="n">
        <f aca="false">N90*L90</f>
        <v>6.3919575</v>
      </c>
    </row>
    <row r="92" customFormat="false" ht="15" hidden="false" customHeight="false" outlineLevel="0" collapsed="false">
      <c r="B92" s="45" t="s">
        <v>424</v>
      </c>
      <c r="P92" s="39" t="n">
        <f aca="false">IF(Columnas!$H$18="",0,IF(Columnas!$K$8&gt;$J$68,0,IF(Columnas!$K$8&lt;=$O$90,$P$90,IF(INDEX($O$70:$O$90,SUMPRODUCT(--($O$70:$O$90&gt;=Columnas!$K$8)))=INDEX($O$70:$O$90,SUMPRODUCT(--($O$70:$O$90&gt;=Columnas!$K$8))+1),INDEX($P$70:$P$90,SUMPRODUCT(--($O$70:$O$90&gt;=Columnas!$K$8))),INDEX($P$70:$P$90,SUMPRODUCT(--($O$70:$O$90&gt;=Columnas!$K$8)))+(INDEX($P$70:$P$90,SUMPRODUCT(--($O$70:$O$90&gt;=Columnas!$K$8))+1)-INDEX($P$70:$P$90,SUMPRODUCT(--($O$70:$O$90&gt;=Columnas!$K$8))))*(INDEX($O$70:$O$90,SUMPRODUCT(--($O$70:$O$90&gt;=Columnas!$K$8)))-Columnas!$K$8)/(INDEX($O$70:$O$90,SUMPRODUCT(--($O$70:$O$90&gt;=Columnas!$K$8)))-INDEX($O$70:$O$90,SUMPRODUCT(--($O$70:$O$90&gt;=Columnas!$K$8))+1))))))</f>
        <v>102.996824383175</v>
      </c>
    </row>
    <row r="93" customFormat="false" ht="15" hidden="false" customHeight="false" outlineLevel="0" collapsed="false">
      <c r="B93" s="45" t="s">
        <v>425</v>
      </c>
      <c r="O93" s="33" t="n">
        <f aca="false">Columnas!$L$8</f>
        <v>40</v>
      </c>
      <c r="P93" s="33" t="n">
        <f aca="false">Columnas!$K$8</f>
        <v>212.212</v>
      </c>
    </row>
    <row r="96" customFormat="false" ht="15" hidden="false" customHeight="false" outlineLevel="0" collapsed="false">
      <c r="B96" s="42" t="str">
        <f aca="false">IF(Columnas!B9="","(columna sin cargar)","Columna "&amp;Columnas!B9&amp;"  –  "&amp;Columnas!C9&amp;" × "&amp;Columnas!D9&amp;" cm")</f>
        <v>(columna sin cargar)</v>
      </c>
      <c r="C96" s="42"/>
      <c r="D96" s="42"/>
      <c r="E96" s="42"/>
      <c r="F96" s="42"/>
      <c r="G96" s="42"/>
      <c r="H96" s="42"/>
      <c r="I96" s="42"/>
      <c r="J96" s="42"/>
      <c r="K96" s="42"/>
      <c r="L96" s="42"/>
      <c r="M96" s="42"/>
      <c r="N96" s="42"/>
      <c r="O96" s="42"/>
      <c r="P96" s="42"/>
    </row>
    <row r="97" customFormat="false" ht="27.75" hidden="false" customHeight="true" outlineLevel="0" collapsed="false">
      <c r="B97" s="11" t="s">
        <v>401</v>
      </c>
      <c r="C97" s="11" t="s">
        <v>402</v>
      </c>
      <c r="D97" s="11" t="s">
        <v>403</v>
      </c>
      <c r="E97" s="11" t="s">
        <v>404</v>
      </c>
      <c r="F97" s="11" t="s">
        <v>405</v>
      </c>
      <c r="G97" s="11" t="s">
        <v>406</v>
      </c>
      <c r="H97" s="11" t="s">
        <v>407</v>
      </c>
      <c r="I97" s="11" t="s">
        <v>408</v>
      </c>
      <c r="J97" s="11" t="s">
        <v>389</v>
      </c>
      <c r="K97" s="43" t="s">
        <v>409</v>
      </c>
    </row>
    <row r="98" customFormat="false" ht="15" hidden="false" customHeight="false" outlineLevel="0" collapsed="false">
      <c r="B98" s="33" t="n">
        <f aca="false">IF(Columnas!$H$19="",0,Columnas!$C$9*10)</f>
        <v>0</v>
      </c>
      <c r="C98" s="33" t="n">
        <f aca="false">IF(Columnas!$H$19="",0,Columnas!$D$9*10)</f>
        <v>0</v>
      </c>
      <c r="D98" s="33" t="n">
        <f aca="false">IF(Columnas!$H$19="",0,Columnas!$J$19*10)</f>
        <v>0</v>
      </c>
      <c r="E98" s="33" t="n">
        <f aca="false">C98-D98</f>
        <v>0</v>
      </c>
      <c r="F98" s="33" t="n">
        <f aca="false">IF(Columnas!$H$19="",0,Columnas!$D$19*(PI()*Columnas!$E$19^2/4))</f>
        <v>0</v>
      </c>
      <c r="G98" s="33" t="n">
        <f aca="false">F98</f>
        <v>0</v>
      </c>
      <c r="H98" s="33" t="n">
        <f aca="false">IF(Columnas!$H$19="",0,(Columnas!$C$19-2*Columnas!$D$19)*(PI()*Columnas!$E$19^2/4))</f>
        <v>0</v>
      </c>
      <c r="I98" s="33" t="n">
        <f aca="false">(0.85*Datos!$C$14*(B98*C98-(F98+G98+H98))+Datos!$C$25*(F98+G98+H98))/1000</f>
        <v>0</v>
      </c>
      <c r="J98" s="33" t="n">
        <f aca="false">0.8*0.65*I98</f>
        <v>0</v>
      </c>
      <c r="K98" s="33" t="n">
        <f aca="false">J98</f>
        <v>0</v>
      </c>
    </row>
    <row r="99" customFormat="false" ht="27.75" hidden="false" customHeight="true" outlineLevel="0" collapsed="false">
      <c r="B99" s="11" t="s">
        <v>410</v>
      </c>
      <c r="C99" s="11" t="s">
        <v>411</v>
      </c>
      <c r="D99" s="11" t="s">
        <v>412</v>
      </c>
      <c r="E99" s="11" t="s">
        <v>413</v>
      </c>
      <c r="F99" s="11" t="s">
        <v>414</v>
      </c>
      <c r="G99" s="11" t="s">
        <v>415</v>
      </c>
      <c r="H99" s="11" t="s">
        <v>416</v>
      </c>
      <c r="I99" s="11" t="s">
        <v>417</v>
      </c>
      <c r="J99" s="11" t="s">
        <v>418</v>
      </c>
      <c r="K99" s="11" t="s">
        <v>419</v>
      </c>
      <c r="L99" s="11" t="s">
        <v>420</v>
      </c>
      <c r="M99" s="11" t="s">
        <v>421</v>
      </c>
      <c r="N99" s="11" t="s">
        <v>422</v>
      </c>
      <c r="O99" s="11" t="s">
        <v>423</v>
      </c>
      <c r="P99" s="11" t="s">
        <v>347</v>
      </c>
    </row>
    <row r="100" customFormat="false" ht="15" hidden="false" customHeight="false" outlineLevel="0" collapsed="false">
      <c r="B100" s="22" t="n">
        <v>100</v>
      </c>
      <c r="C100" s="14" t="n">
        <f aca="false">B100*$C$98</f>
        <v>0</v>
      </c>
      <c r="D100" s="14" t="n">
        <f aca="false">MIN(Datos!$C$16*C100,$C$98)</f>
        <v>0</v>
      </c>
      <c r="E100" s="44" t="n">
        <f aca="false">IF(C100=0,0,0.003*(C100-$D$98)/C100)</f>
        <v>0</v>
      </c>
      <c r="F100" s="44" t="n">
        <f aca="false">IF(C100=0,0,0.003*(C100-$C$98/2)/C100)</f>
        <v>0</v>
      </c>
      <c r="G100" s="44" t="n">
        <f aca="false">IF(C100=0,0,0.003*(C100-$E$98)/C100)</f>
        <v>0</v>
      </c>
      <c r="H100" s="14" t="n">
        <f aca="false">MAX(-Datos!$C$25,MIN(Datos!$C$25,Datos!$C$28*E100))</f>
        <v>0</v>
      </c>
      <c r="I100" s="14" t="n">
        <f aca="false">MAX(-Datos!$C$25,MIN(Datos!$C$25,Datos!$C$28*F100))</f>
        <v>0</v>
      </c>
      <c r="J100" s="14" t="n">
        <f aca="false">MAX(-Datos!$C$25,MIN(Datos!$C$25,Datos!$C$28*G100))</f>
        <v>0</v>
      </c>
      <c r="K100" s="33" t="n">
        <f aca="false">(0.85*Datos!$C$14*$B$98*D100+$F$98*(H100-IF($D$98&lt;D100,0.85*Datos!$C$14,0))+$H$98*(I100-IF($C$98/2&lt;D100,0.85*Datos!$C$14,0))+$G$98*(J100-IF($E$98&lt;D100,0.85*Datos!$C$14,0)))/1000</f>
        <v>0</v>
      </c>
      <c r="L100" s="33" t="n">
        <f aca="false">(0.85*Datos!$C$14*$B$98*D100*($C$98/2-D100/2)+$F$98*(H100-IF($D$98&lt;D100,0.85*Datos!$C$14,0))*($C$98/2-$D$98)+$G$98*(J100-IF($E$98&lt;D100,0.85*Datos!$C$14,0))*($C$98/2-$E$98))/10^6</f>
        <v>0</v>
      </c>
      <c r="M100" s="44" t="n">
        <f aca="false">-G100</f>
        <v>-0</v>
      </c>
      <c r="N100" s="30" t="n">
        <f aca="false">IF(M100&gt;=0.005,0.9,IF(M100&lt;=Datos!$C$25/Datos!$C$28,0.65,0.65+(M100-Datos!$C$25/Datos!$C$28)*0.25/(0.005-Datos!$C$25/Datos!$C$28)))</f>
        <v>0.65</v>
      </c>
      <c r="O100" s="33" t="n">
        <f aca="false">MIN(N100*K100,$J$98)</f>
        <v>0</v>
      </c>
      <c r="P100" s="33" t="n">
        <f aca="false">N100*L100</f>
        <v>0</v>
      </c>
    </row>
    <row r="101" customFormat="false" ht="15" hidden="false" customHeight="false" outlineLevel="0" collapsed="false">
      <c r="B101" s="22" t="n">
        <v>3</v>
      </c>
      <c r="C101" s="14" t="n">
        <f aca="false">B101*$C$98</f>
        <v>0</v>
      </c>
      <c r="D101" s="14" t="n">
        <f aca="false">MIN(Datos!$C$16*C101,$C$98)</f>
        <v>0</v>
      </c>
      <c r="E101" s="44" t="n">
        <f aca="false">IF(C101=0,0,0.003*(C101-$D$98)/C101)</f>
        <v>0</v>
      </c>
      <c r="F101" s="44" t="n">
        <f aca="false">IF(C101=0,0,0.003*(C101-$C$98/2)/C101)</f>
        <v>0</v>
      </c>
      <c r="G101" s="44" t="n">
        <f aca="false">IF(C101=0,0,0.003*(C101-$E$98)/C101)</f>
        <v>0</v>
      </c>
      <c r="H101" s="14" t="n">
        <f aca="false">MAX(-Datos!$C$25,MIN(Datos!$C$25,Datos!$C$28*E101))</f>
        <v>0</v>
      </c>
      <c r="I101" s="14" t="n">
        <f aca="false">MAX(-Datos!$C$25,MIN(Datos!$C$25,Datos!$C$28*F101))</f>
        <v>0</v>
      </c>
      <c r="J101" s="14" t="n">
        <f aca="false">MAX(-Datos!$C$25,MIN(Datos!$C$25,Datos!$C$28*G101))</f>
        <v>0</v>
      </c>
      <c r="K101" s="33" t="n">
        <f aca="false">(0.85*Datos!$C$14*$B$98*D101+$F$98*(H101-IF($D$98&lt;D101,0.85*Datos!$C$14,0))+$H$98*(I101-IF($C$98/2&lt;D101,0.85*Datos!$C$14,0))+$G$98*(J101-IF($E$98&lt;D101,0.85*Datos!$C$14,0)))/1000</f>
        <v>0</v>
      </c>
      <c r="L101" s="33" t="n">
        <f aca="false">(0.85*Datos!$C$14*$B$98*D101*($C$98/2-D101/2)+$F$98*(H101-IF($D$98&lt;D101,0.85*Datos!$C$14,0))*($C$98/2-$D$98)+$G$98*(J101-IF($E$98&lt;D101,0.85*Datos!$C$14,0))*($C$98/2-$E$98))/10^6</f>
        <v>0</v>
      </c>
      <c r="M101" s="44" t="n">
        <f aca="false">-G101</f>
        <v>-0</v>
      </c>
      <c r="N101" s="30" t="n">
        <f aca="false">IF(M101&gt;=0.005,0.9,IF(M101&lt;=Datos!$C$25/Datos!$C$28,0.65,0.65+(M101-Datos!$C$25/Datos!$C$28)*0.25/(0.005-Datos!$C$25/Datos!$C$28)))</f>
        <v>0.65</v>
      </c>
      <c r="O101" s="33" t="n">
        <f aca="false">MIN(N101*K101,$J$98)</f>
        <v>0</v>
      </c>
      <c r="P101" s="33" t="n">
        <f aca="false">N101*L101</f>
        <v>0</v>
      </c>
    </row>
    <row r="102" customFormat="false" ht="15" hidden="false" customHeight="false" outlineLevel="0" collapsed="false">
      <c r="B102" s="22" t="n">
        <v>2</v>
      </c>
      <c r="C102" s="14" t="n">
        <f aca="false">B102*$C$98</f>
        <v>0</v>
      </c>
      <c r="D102" s="14" t="n">
        <f aca="false">MIN(Datos!$C$16*C102,$C$98)</f>
        <v>0</v>
      </c>
      <c r="E102" s="44" t="n">
        <f aca="false">IF(C102=0,0,0.003*(C102-$D$98)/C102)</f>
        <v>0</v>
      </c>
      <c r="F102" s="44" t="n">
        <f aca="false">IF(C102=0,0,0.003*(C102-$C$98/2)/C102)</f>
        <v>0</v>
      </c>
      <c r="G102" s="44" t="n">
        <f aca="false">IF(C102=0,0,0.003*(C102-$E$98)/C102)</f>
        <v>0</v>
      </c>
      <c r="H102" s="14" t="n">
        <f aca="false">MAX(-Datos!$C$25,MIN(Datos!$C$25,Datos!$C$28*E102))</f>
        <v>0</v>
      </c>
      <c r="I102" s="14" t="n">
        <f aca="false">MAX(-Datos!$C$25,MIN(Datos!$C$25,Datos!$C$28*F102))</f>
        <v>0</v>
      </c>
      <c r="J102" s="14" t="n">
        <f aca="false">MAX(-Datos!$C$25,MIN(Datos!$C$25,Datos!$C$28*G102))</f>
        <v>0</v>
      </c>
      <c r="K102" s="33" t="n">
        <f aca="false">(0.85*Datos!$C$14*$B$98*D102+$F$98*(H102-IF($D$98&lt;D102,0.85*Datos!$C$14,0))+$H$98*(I102-IF($C$98/2&lt;D102,0.85*Datos!$C$14,0))+$G$98*(J102-IF($E$98&lt;D102,0.85*Datos!$C$14,0)))/1000</f>
        <v>0</v>
      </c>
      <c r="L102" s="33" t="n">
        <f aca="false">(0.85*Datos!$C$14*$B$98*D102*($C$98/2-D102/2)+$F$98*(H102-IF($D$98&lt;D102,0.85*Datos!$C$14,0))*($C$98/2-$D$98)+$G$98*(J102-IF($E$98&lt;D102,0.85*Datos!$C$14,0))*($C$98/2-$E$98))/10^6</f>
        <v>0</v>
      </c>
      <c r="M102" s="44" t="n">
        <f aca="false">-G102</f>
        <v>-0</v>
      </c>
      <c r="N102" s="30" t="n">
        <f aca="false">IF(M102&gt;=0.005,0.9,IF(M102&lt;=Datos!$C$25/Datos!$C$28,0.65,0.65+(M102-Datos!$C$25/Datos!$C$28)*0.25/(0.005-Datos!$C$25/Datos!$C$28)))</f>
        <v>0.65</v>
      </c>
      <c r="O102" s="33" t="n">
        <f aca="false">MIN(N102*K102,$J$98)</f>
        <v>0</v>
      </c>
      <c r="P102" s="33" t="n">
        <f aca="false">N102*L102</f>
        <v>0</v>
      </c>
    </row>
    <row r="103" customFormat="false" ht="15" hidden="false" customHeight="false" outlineLevel="0" collapsed="false">
      <c r="B103" s="22" t="n">
        <v>1.5</v>
      </c>
      <c r="C103" s="14" t="n">
        <f aca="false">B103*$C$98</f>
        <v>0</v>
      </c>
      <c r="D103" s="14" t="n">
        <f aca="false">MIN(Datos!$C$16*C103,$C$98)</f>
        <v>0</v>
      </c>
      <c r="E103" s="44" t="n">
        <f aca="false">IF(C103=0,0,0.003*(C103-$D$98)/C103)</f>
        <v>0</v>
      </c>
      <c r="F103" s="44" t="n">
        <f aca="false">IF(C103=0,0,0.003*(C103-$C$98/2)/C103)</f>
        <v>0</v>
      </c>
      <c r="G103" s="44" t="n">
        <f aca="false">IF(C103=0,0,0.003*(C103-$E$98)/C103)</f>
        <v>0</v>
      </c>
      <c r="H103" s="14" t="n">
        <f aca="false">MAX(-Datos!$C$25,MIN(Datos!$C$25,Datos!$C$28*E103))</f>
        <v>0</v>
      </c>
      <c r="I103" s="14" t="n">
        <f aca="false">MAX(-Datos!$C$25,MIN(Datos!$C$25,Datos!$C$28*F103))</f>
        <v>0</v>
      </c>
      <c r="J103" s="14" t="n">
        <f aca="false">MAX(-Datos!$C$25,MIN(Datos!$C$25,Datos!$C$28*G103))</f>
        <v>0</v>
      </c>
      <c r="K103" s="33" t="n">
        <f aca="false">(0.85*Datos!$C$14*$B$98*D103+$F$98*(H103-IF($D$98&lt;D103,0.85*Datos!$C$14,0))+$H$98*(I103-IF($C$98/2&lt;D103,0.85*Datos!$C$14,0))+$G$98*(J103-IF($E$98&lt;D103,0.85*Datos!$C$14,0)))/1000</f>
        <v>0</v>
      </c>
      <c r="L103" s="33" t="n">
        <f aca="false">(0.85*Datos!$C$14*$B$98*D103*($C$98/2-D103/2)+$F$98*(H103-IF($D$98&lt;D103,0.85*Datos!$C$14,0))*($C$98/2-$D$98)+$G$98*(J103-IF($E$98&lt;D103,0.85*Datos!$C$14,0))*($C$98/2-$E$98))/10^6</f>
        <v>0</v>
      </c>
      <c r="M103" s="44" t="n">
        <f aca="false">-G103</f>
        <v>-0</v>
      </c>
      <c r="N103" s="30" t="n">
        <f aca="false">IF(M103&gt;=0.005,0.9,IF(M103&lt;=Datos!$C$25/Datos!$C$28,0.65,0.65+(M103-Datos!$C$25/Datos!$C$28)*0.25/(0.005-Datos!$C$25/Datos!$C$28)))</f>
        <v>0.65</v>
      </c>
      <c r="O103" s="33" t="n">
        <f aca="false">MIN(N103*K103,$J$98)</f>
        <v>0</v>
      </c>
      <c r="P103" s="33" t="n">
        <f aca="false">N103*L103</f>
        <v>0</v>
      </c>
    </row>
    <row r="104" customFormat="false" ht="15" hidden="false" customHeight="false" outlineLevel="0" collapsed="false">
      <c r="B104" s="22" t="n">
        <v>1.2</v>
      </c>
      <c r="C104" s="14" t="n">
        <f aca="false">B104*$C$98</f>
        <v>0</v>
      </c>
      <c r="D104" s="14" t="n">
        <f aca="false">MIN(Datos!$C$16*C104,$C$98)</f>
        <v>0</v>
      </c>
      <c r="E104" s="44" t="n">
        <f aca="false">IF(C104=0,0,0.003*(C104-$D$98)/C104)</f>
        <v>0</v>
      </c>
      <c r="F104" s="44" t="n">
        <f aca="false">IF(C104=0,0,0.003*(C104-$C$98/2)/C104)</f>
        <v>0</v>
      </c>
      <c r="G104" s="44" t="n">
        <f aca="false">IF(C104=0,0,0.003*(C104-$E$98)/C104)</f>
        <v>0</v>
      </c>
      <c r="H104" s="14" t="n">
        <f aca="false">MAX(-Datos!$C$25,MIN(Datos!$C$25,Datos!$C$28*E104))</f>
        <v>0</v>
      </c>
      <c r="I104" s="14" t="n">
        <f aca="false">MAX(-Datos!$C$25,MIN(Datos!$C$25,Datos!$C$28*F104))</f>
        <v>0</v>
      </c>
      <c r="J104" s="14" t="n">
        <f aca="false">MAX(-Datos!$C$25,MIN(Datos!$C$25,Datos!$C$28*G104))</f>
        <v>0</v>
      </c>
      <c r="K104" s="33" t="n">
        <f aca="false">(0.85*Datos!$C$14*$B$98*D104+$F$98*(H104-IF($D$98&lt;D104,0.85*Datos!$C$14,0))+$H$98*(I104-IF($C$98/2&lt;D104,0.85*Datos!$C$14,0))+$G$98*(J104-IF($E$98&lt;D104,0.85*Datos!$C$14,0)))/1000</f>
        <v>0</v>
      </c>
      <c r="L104" s="33" t="n">
        <f aca="false">(0.85*Datos!$C$14*$B$98*D104*($C$98/2-D104/2)+$F$98*(H104-IF($D$98&lt;D104,0.85*Datos!$C$14,0))*($C$98/2-$D$98)+$G$98*(J104-IF($E$98&lt;D104,0.85*Datos!$C$14,0))*($C$98/2-$E$98))/10^6</f>
        <v>0</v>
      </c>
      <c r="M104" s="44" t="n">
        <f aca="false">-G104</f>
        <v>-0</v>
      </c>
      <c r="N104" s="30" t="n">
        <f aca="false">IF(M104&gt;=0.005,0.9,IF(M104&lt;=Datos!$C$25/Datos!$C$28,0.65,0.65+(M104-Datos!$C$25/Datos!$C$28)*0.25/(0.005-Datos!$C$25/Datos!$C$28)))</f>
        <v>0.65</v>
      </c>
      <c r="O104" s="33" t="n">
        <f aca="false">MIN(N104*K104,$J$98)</f>
        <v>0</v>
      </c>
      <c r="P104" s="33" t="n">
        <f aca="false">N104*L104</f>
        <v>0</v>
      </c>
    </row>
    <row r="105" customFormat="false" ht="15" hidden="false" customHeight="false" outlineLevel="0" collapsed="false">
      <c r="B105" s="22" t="n">
        <v>1</v>
      </c>
      <c r="C105" s="14" t="n">
        <f aca="false">B105*$C$98</f>
        <v>0</v>
      </c>
      <c r="D105" s="14" t="n">
        <f aca="false">MIN(Datos!$C$16*C105,$C$98)</f>
        <v>0</v>
      </c>
      <c r="E105" s="44" t="n">
        <f aca="false">IF(C105=0,0,0.003*(C105-$D$98)/C105)</f>
        <v>0</v>
      </c>
      <c r="F105" s="44" t="n">
        <f aca="false">IF(C105=0,0,0.003*(C105-$C$98/2)/C105)</f>
        <v>0</v>
      </c>
      <c r="G105" s="44" t="n">
        <f aca="false">IF(C105=0,0,0.003*(C105-$E$98)/C105)</f>
        <v>0</v>
      </c>
      <c r="H105" s="14" t="n">
        <f aca="false">MAX(-Datos!$C$25,MIN(Datos!$C$25,Datos!$C$28*E105))</f>
        <v>0</v>
      </c>
      <c r="I105" s="14" t="n">
        <f aca="false">MAX(-Datos!$C$25,MIN(Datos!$C$25,Datos!$C$28*F105))</f>
        <v>0</v>
      </c>
      <c r="J105" s="14" t="n">
        <f aca="false">MAX(-Datos!$C$25,MIN(Datos!$C$25,Datos!$C$28*G105))</f>
        <v>0</v>
      </c>
      <c r="K105" s="33" t="n">
        <f aca="false">(0.85*Datos!$C$14*$B$98*D105+$F$98*(H105-IF($D$98&lt;D105,0.85*Datos!$C$14,0))+$H$98*(I105-IF($C$98/2&lt;D105,0.85*Datos!$C$14,0))+$G$98*(J105-IF($E$98&lt;D105,0.85*Datos!$C$14,0)))/1000</f>
        <v>0</v>
      </c>
      <c r="L105" s="33" t="n">
        <f aca="false">(0.85*Datos!$C$14*$B$98*D105*($C$98/2-D105/2)+$F$98*(H105-IF($D$98&lt;D105,0.85*Datos!$C$14,0))*($C$98/2-$D$98)+$G$98*(J105-IF($E$98&lt;D105,0.85*Datos!$C$14,0))*($C$98/2-$E$98))/10^6</f>
        <v>0</v>
      </c>
      <c r="M105" s="44" t="n">
        <f aca="false">-G105</f>
        <v>-0</v>
      </c>
      <c r="N105" s="30" t="n">
        <f aca="false">IF(M105&gt;=0.005,0.9,IF(M105&lt;=Datos!$C$25/Datos!$C$28,0.65,0.65+(M105-Datos!$C$25/Datos!$C$28)*0.25/(0.005-Datos!$C$25/Datos!$C$28)))</f>
        <v>0.65</v>
      </c>
      <c r="O105" s="33" t="n">
        <f aca="false">MIN(N105*K105,$J$98)</f>
        <v>0</v>
      </c>
      <c r="P105" s="33" t="n">
        <f aca="false">N105*L105</f>
        <v>0</v>
      </c>
    </row>
    <row r="106" customFormat="false" ht="15" hidden="false" customHeight="false" outlineLevel="0" collapsed="false">
      <c r="B106" s="22" t="n">
        <v>0.9</v>
      </c>
      <c r="C106" s="14" t="n">
        <f aca="false">B106*$C$98</f>
        <v>0</v>
      </c>
      <c r="D106" s="14" t="n">
        <f aca="false">MIN(Datos!$C$16*C106,$C$98)</f>
        <v>0</v>
      </c>
      <c r="E106" s="44" t="n">
        <f aca="false">IF(C106=0,0,0.003*(C106-$D$98)/C106)</f>
        <v>0</v>
      </c>
      <c r="F106" s="44" t="n">
        <f aca="false">IF(C106=0,0,0.003*(C106-$C$98/2)/C106)</f>
        <v>0</v>
      </c>
      <c r="G106" s="44" t="n">
        <f aca="false">IF(C106=0,0,0.003*(C106-$E$98)/C106)</f>
        <v>0</v>
      </c>
      <c r="H106" s="14" t="n">
        <f aca="false">MAX(-Datos!$C$25,MIN(Datos!$C$25,Datos!$C$28*E106))</f>
        <v>0</v>
      </c>
      <c r="I106" s="14" t="n">
        <f aca="false">MAX(-Datos!$C$25,MIN(Datos!$C$25,Datos!$C$28*F106))</f>
        <v>0</v>
      </c>
      <c r="J106" s="14" t="n">
        <f aca="false">MAX(-Datos!$C$25,MIN(Datos!$C$25,Datos!$C$28*G106))</f>
        <v>0</v>
      </c>
      <c r="K106" s="33" t="n">
        <f aca="false">(0.85*Datos!$C$14*$B$98*D106+$F$98*(H106-IF($D$98&lt;D106,0.85*Datos!$C$14,0))+$H$98*(I106-IF($C$98/2&lt;D106,0.85*Datos!$C$14,0))+$G$98*(J106-IF($E$98&lt;D106,0.85*Datos!$C$14,0)))/1000</f>
        <v>0</v>
      </c>
      <c r="L106" s="33" t="n">
        <f aca="false">(0.85*Datos!$C$14*$B$98*D106*($C$98/2-D106/2)+$F$98*(H106-IF($D$98&lt;D106,0.85*Datos!$C$14,0))*($C$98/2-$D$98)+$G$98*(J106-IF($E$98&lt;D106,0.85*Datos!$C$14,0))*($C$98/2-$E$98))/10^6</f>
        <v>0</v>
      </c>
      <c r="M106" s="44" t="n">
        <f aca="false">-G106</f>
        <v>-0</v>
      </c>
      <c r="N106" s="30" t="n">
        <f aca="false">IF(M106&gt;=0.005,0.9,IF(M106&lt;=Datos!$C$25/Datos!$C$28,0.65,0.65+(M106-Datos!$C$25/Datos!$C$28)*0.25/(0.005-Datos!$C$25/Datos!$C$28)))</f>
        <v>0.65</v>
      </c>
      <c r="O106" s="33" t="n">
        <f aca="false">MIN(N106*K106,$J$98)</f>
        <v>0</v>
      </c>
      <c r="P106" s="33" t="n">
        <f aca="false">N106*L106</f>
        <v>0</v>
      </c>
    </row>
    <row r="107" customFormat="false" ht="15" hidden="false" customHeight="false" outlineLevel="0" collapsed="false">
      <c r="B107" s="22" t="n">
        <v>0.8</v>
      </c>
      <c r="C107" s="14" t="n">
        <f aca="false">B107*$C$98</f>
        <v>0</v>
      </c>
      <c r="D107" s="14" t="n">
        <f aca="false">MIN(Datos!$C$16*C107,$C$98)</f>
        <v>0</v>
      </c>
      <c r="E107" s="44" t="n">
        <f aca="false">IF(C107=0,0,0.003*(C107-$D$98)/C107)</f>
        <v>0</v>
      </c>
      <c r="F107" s="44" t="n">
        <f aca="false">IF(C107=0,0,0.003*(C107-$C$98/2)/C107)</f>
        <v>0</v>
      </c>
      <c r="G107" s="44" t="n">
        <f aca="false">IF(C107=0,0,0.003*(C107-$E$98)/C107)</f>
        <v>0</v>
      </c>
      <c r="H107" s="14" t="n">
        <f aca="false">MAX(-Datos!$C$25,MIN(Datos!$C$25,Datos!$C$28*E107))</f>
        <v>0</v>
      </c>
      <c r="I107" s="14" t="n">
        <f aca="false">MAX(-Datos!$C$25,MIN(Datos!$C$25,Datos!$C$28*F107))</f>
        <v>0</v>
      </c>
      <c r="J107" s="14" t="n">
        <f aca="false">MAX(-Datos!$C$25,MIN(Datos!$C$25,Datos!$C$28*G107))</f>
        <v>0</v>
      </c>
      <c r="K107" s="33" t="n">
        <f aca="false">(0.85*Datos!$C$14*$B$98*D107+$F$98*(H107-IF($D$98&lt;D107,0.85*Datos!$C$14,0))+$H$98*(I107-IF($C$98/2&lt;D107,0.85*Datos!$C$14,0))+$G$98*(J107-IF($E$98&lt;D107,0.85*Datos!$C$14,0)))/1000</f>
        <v>0</v>
      </c>
      <c r="L107" s="33" t="n">
        <f aca="false">(0.85*Datos!$C$14*$B$98*D107*($C$98/2-D107/2)+$F$98*(H107-IF($D$98&lt;D107,0.85*Datos!$C$14,0))*($C$98/2-$D$98)+$G$98*(J107-IF($E$98&lt;D107,0.85*Datos!$C$14,0))*($C$98/2-$E$98))/10^6</f>
        <v>0</v>
      </c>
      <c r="M107" s="44" t="n">
        <f aca="false">-G107</f>
        <v>-0</v>
      </c>
      <c r="N107" s="30" t="n">
        <f aca="false">IF(M107&gt;=0.005,0.9,IF(M107&lt;=Datos!$C$25/Datos!$C$28,0.65,0.65+(M107-Datos!$C$25/Datos!$C$28)*0.25/(0.005-Datos!$C$25/Datos!$C$28)))</f>
        <v>0.65</v>
      </c>
      <c r="O107" s="33" t="n">
        <f aca="false">MIN(N107*K107,$J$98)</f>
        <v>0</v>
      </c>
      <c r="P107" s="33" t="n">
        <f aca="false">N107*L107</f>
        <v>0</v>
      </c>
    </row>
    <row r="108" customFormat="false" ht="15" hidden="false" customHeight="false" outlineLevel="0" collapsed="false">
      <c r="B108" s="22" t="n">
        <v>0.7</v>
      </c>
      <c r="C108" s="14" t="n">
        <f aca="false">B108*$C$98</f>
        <v>0</v>
      </c>
      <c r="D108" s="14" t="n">
        <f aca="false">MIN(Datos!$C$16*C108,$C$98)</f>
        <v>0</v>
      </c>
      <c r="E108" s="44" t="n">
        <f aca="false">IF(C108=0,0,0.003*(C108-$D$98)/C108)</f>
        <v>0</v>
      </c>
      <c r="F108" s="44" t="n">
        <f aca="false">IF(C108=0,0,0.003*(C108-$C$98/2)/C108)</f>
        <v>0</v>
      </c>
      <c r="G108" s="44" t="n">
        <f aca="false">IF(C108=0,0,0.003*(C108-$E$98)/C108)</f>
        <v>0</v>
      </c>
      <c r="H108" s="14" t="n">
        <f aca="false">MAX(-Datos!$C$25,MIN(Datos!$C$25,Datos!$C$28*E108))</f>
        <v>0</v>
      </c>
      <c r="I108" s="14" t="n">
        <f aca="false">MAX(-Datos!$C$25,MIN(Datos!$C$25,Datos!$C$28*F108))</f>
        <v>0</v>
      </c>
      <c r="J108" s="14" t="n">
        <f aca="false">MAX(-Datos!$C$25,MIN(Datos!$C$25,Datos!$C$28*G108))</f>
        <v>0</v>
      </c>
      <c r="K108" s="33" t="n">
        <f aca="false">(0.85*Datos!$C$14*$B$98*D108+$F$98*(H108-IF($D$98&lt;D108,0.85*Datos!$C$14,0))+$H$98*(I108-IF($C$98/2&lt;D108,0.85*Datos!$C$14,0))+$G$98*(J108-IF($E$98&lt;D108,0.85*Datos!$C$14,0)))/1000</f>
        <v>0</v>
      </c>
      <c r="L108" s="33" t="n">
        <f aca="false">(0.85*Datos!$C$14*$B$98*D108*($C$98/2-D108/2)+$F$98*(H108-IF($D$98&lt;D108,0.85*Datos!$C$14,0))*($C$98/2-$D$98)+$G$98*(J108-IF($E$98&lt;D108,0.85*Datos!$C$14,0))*($C$98/2-$E$98))/10^6</f>
        <v>0</v>
      </c>
      <c r="M108" s="44" t="n">
        <f aca="false">-G108</f>
        <v>-0</v>
      </c>
      <c r="N108" s="30" t="n">
        <f aca="false">IF(M108&gt;=0.005,0.9,IF(M108&lt;=Datos!$C$25/Datos!$C$28,0.65,0.65+(M108-Datos!$C$25/Datos!$C$28)*0.25/(0.005-Datos!$C$25/Datos!$C$28)))</f>
        <v>0.65</v>
      </c>
      <c r="O108" s="33" t="n">
        <f aca="false">MIN(N108*K108,$J$98)</f>
        <v>0</v>
      </c>
      <c r="P108" s="33" t="n">
        <f aca="false">N108*L108</f>
        <v>0</v>
      </c>
    </row>
    <row r="109" customFormat="false" ht="15" hidden="false" customHeight="false" outlineLevel="0" collapsed="false">
      <c r="B109" s="22" t="n">
        <v>0.6</v>
      </c>
      <c r="C109" s="14" t="n">
        <f aca="false">B109*$C$98</f>
        <v>0</v>
      </c>
      <c r="D109" s="14" t="n">
        <f aca="false">MIN(Datos!$C$16*C109,$C$98)</f>
        <v>0</v>
      </c>
      <c r="E109" s="44" t="n">
        <f aca="false">IF(C109=0,0,0.003*(C109-$D$98)/C109)</f>
        <v>0</v>
      </c>
      <c r="F109" s="44" t="n">
        <f aca="false">IF(C109=0,0,0.003*(C109-$C$98/2)/C109)</f>
        <v>0</v>
      </c>
      <c r="G109" s="44" t="n">
        <f aca="false">IF(C109=0,0,0.003*(C109-$E$98)/C109)</f>
        <v>0</v>
      </c>
      <c r="H109" s="14" t="n">
        <f aca="false">MAX(-Datos!$C$25,MIN(Datos!$C$25,Datos!$C$28*E109))</f>
        <v>0</v>
      </c>
      <c r="I109" s="14" t="n">
        <f aca="false">MAX(-Datos!$C$25,MIN(Datos!$C$25,Datos!$C$28*F109))</f>
        <v>0</v>
      </c>
      <c r="J109" s="14" t="n">
        <f aca="false">MAX(-Datos!$C$25,MIN(Datos!$C$25,Datos!$C$28*G109))</f>
        <v>0</v>
      </c>
      <c r="K109" s="33" t="n">
        <f aca="false">(0.85*Datos!$C$14*$B$98*D109+$F$98*(H109-IF($D$98&lt;D109,0.85*Datos!$C$14,0))+$H$98*(I109-IF($C$98/2&lt;D109,0.85*Datos!$C$14,0))+$G$98*(J109-IF($E$98&lt;D109,0.85*Datos!$C$14,0)))/1000</f>
        <v>0</v>
      </c>
      <c r="L109" s="33" t="n">
        <f aca="false">(0.85*Datos!$C$14*$B$98*D109*($C$98/2-D109/2)+$F$98*(H109-IF($D$98&lt;D109,0.85*Datos!$C$14,0))*($C$98/2-$D$98)+$G$98*(J109-IF($E$98&lt;D109,0.85*Datos!$C$14,0))*($C$98/2-$E$98))/10^6</f>
        <v>0</v>
      </c>
      <c r="M109" s="44" t="n">
        <f aca="false">-G109</f>
        <v>-0</v>
      </c>
      <c r="N109" s="30" t="n">
        <f aca="false">IF(M109&gt;=0.005,0.9,IF(M109&lt;=Datos!$C$25/Datos!$C$28,0.65,0.65+(M109-Datos!$C$25/Datos!$C$28)*0.25/(0.005-Datos!$C$25/Datos!$C$28)))</f>
        <v>0.65</v>
      </c>
      <c r="O109" s="33" t="n">
        <f aca="false">MIN(N109*K109,$J$98)</f>
        <v>0</v>
      </c>
      <c r="P109" s="33" t="n">
        <f aca="false">N109*L109</f>
        <v>0</v>
      </c>
    </row>
    <row r="110" customFormat="false" ht="15" hidden="false" customHeight="false" outlineLevel="0" collapsed="false">
      <c r="B110" s="22" t="n">
        <v>0.5</v>
      </c>
      <c r="C110" s="14" t="n">
        <f aca="false">B110*$C$98</f>
        <v>0</v>
      </c>
      <c r="D110" s="14" t="n">
        <f aca="false">MIN(Datos!$C$16*C110,$C$98)</f>
        <v>0</v>
      </c>
      <c r="E110" s="44" t="n">
        <f aca="false">IF(C110=0,0,0.003*(C110-$D$98)/C110)</f>
        <v>0</v>
      </c>
      <c r="F110" s="44" t="n">
        <f aca="false">IF(C110=0,0,0.003*(C110-$C$98/2)/C110)</f>
        <v>0</v>
      </c>
      <c r="G110" s="44" t="n">
        <f aca="false">IF(C110=0,0,0.003*(C110-$E$98)/C110)</f>
        <v>0</v>
      </c>
      <c r="H110" s="14" t="n">
        <f aca="false">MAX(-Datos!$C$25,MIN(Datos!$C$25,Datos!$C$28*E110))</f>
        <v>0</v>
      </c>
      <c r="I110" s="14" t="n">
        <f aca="false">MAX(-Datos!$C$25,MIN(Datos!$C$25,Datos!$C$28*F110))</f>
        <v>0</v>
      </c>
      <c r="J110" s="14" t="n">
        <f aca="false">MAX(-Datos!$C$25,MIN(Datos!$C$25,Datos!$C$28*G110))</f>
        <v>0</v>
      </c>
      <c r="K110" s="33" t="n">
        <f aca="false">(0.85*Datos!$C$14*$B$98*D110+$F$98*(H110-IF($D$98&lt;D110,0.85*Datos!$C$14,0))+$H$98*(I110-IF($C$98/2&lt;D110,0.85*Datos!$C$14,0))+$G$98*(J110-IF($E$98&lt;D110,0.85*Datos!$C$14,0)))/1000</f>
        <v>0</v>
      </c>
      <c r="L110" s="33" t="n">
        <f aca="false">(0.85*Datos!$C$14*$B$98*D110*($C$98/2-D110/2)+$F$98*(H110-IF($D$98&lt;D110,0.85*Datos!$C$14,0))*($C$98/2-$D$98)+$G$98*(J110-IF($E$98&lt;D110,0.85*Datos!$C$14,0))*($C$98/2-$E$98))/10^6</f>
        <v>0</v>
      </c>
      <c r="M110" s="44" t="n">
        <f aca="false">-G110</f>
        <v>-0</v>
      </c>
      <c r="N110" s="30" t="n">
        <f aca="false">IF(M110&gt;=0.005,0.9,IF(M110&lt;=Datos!$C$25/Datos!$C$28,0.65,0.65+(M110-Datos!$C$25/Datos!$C$28)*0.25/(0.005-Datos!$C$25/Datos!$C$28)))</f>
        <v>0.65</v>
      </c>
      <c r="O110" s="33" t="n">
        <f aca="false">MIN(N110*K110,$J$98)</f>
        <v>0</v>
      </c>
      <c r="P110" s="33" t="n">
        <f aca="false">N110*L110</f>
        <v>0</v>
      </c>
    </row>
    <row r="111" customFormat="false" ht="15" hidden="false" customHeight="false" outlineLevel="0" collapsed="false">
      <c r="B111" s="22" t="n">
        <v>0.45</v>
      </c>
      <c r="C111" s="14" t="n">
        <f aca="false">B111*$C$98</f>
        <v>0</v>
      </c>
      <c r="D111" s="14" t="n">
        <f aca="false">MIN(Datos!$C$16*C111,$C$98)</f>
        <v>0</v>
      </c>
      <c r="E111" s="44" t="n">
        <f aca="false">IF(C111=0,0,0.003*(C111-$D$98)/C111)</f>
        <v>0</v>
      </c>
      <c r="F111" s="44" t="n">
        <f aca="false">IF(C111=0,0,0.003*(C111-$C$98/2)/C111)</f>
        <v>0</v>
      </c>
      <c r="G111" s="44" t="n">
        <f aca="false">IF(C111=0,0,0.003*(C111-$E$98)/C111)</f>
        <v>0</v>
      </c>
      <c r="H111" s="14" t="n">
        <f aca="false">MAX(-Datos!$C$25,MIN(Datos!$C$25,Datos!$C$28*E111))</f>
        <v>0</v>
      </c>
      <c r="I111" s="14" t="n">
        <f aca="false">MAX(-Datos!$C$25,MIN(Datos!$C$25,Datos!$C$28*F111))</f>
        <v>0</v>
      </c>
      <c r="J111" s="14" t="n">
        <f aca="false">MAX(-Datos!$C$25,MIN(Datos!$C$25,Datos!$C$28*G111))</f>
        <v>0</v>
      </c>
      <c r="K111" s="33" t="n">
        <f aca="false">(0.85*Datos!$C$14*$B$98*D111+$F$98*(H111-IF($D$98&lt;D111,0.85*Datos!$C$14,0))+$H$98*(I111-IF($C$98/2&lt;D111,0.85*Datos!$C$14,0))+$G$98*(J111-IF($E$98&lt;D111,0.85*Datos!$C$14,0)))/1000</f>
        <v>0</v>
      </c>
      <c r="L111" s="33" t="n">
        <f aca="false">(0.85*Datos!$C$14*$B$98*D111*($C$98/2-D111/2)+$F$98*(H111-IF($D$98&lt;D111,0.85*Datos!$C$14,0))*($C$98/2-$D$98)+$G$98*(J111-IF($E$98&lt;D111,0.85*Datos!$C$14,0))*($C$98/2-$E$98))/10^6</f>
        <v>0</v>
      </c>
      <c r="M111" s="44" t="n">
        <f aca="false">-G111</f>
        <v>-0</v>
      </c>
      <c r="N111" s="30" t="n">
        <f aca="false">IF(M111&gt;=0.005,0.9,IF(M111&lt;=Datos!$C$25/Datos!$C$28,0.65,0.65+(M111-Datos!$C$25/Datos!$C$28)*0.25/(0.005-Datos!$C$25/Datos!$C$28)))</f>
        <v>0.65</v>
      </c>
      <c r="O111" s="33" t="n">
        <f aca="false">MIN(N111*K111,$J$98)</f>
        <v>0</v>
      </c>
      <c r="P111" s="33" t="n">
        <f aca="false">N111*L111</f>
        <v>0</v>
      </c>
    </row>
    <row r="112" customFormat="false" ht="15" hidden="false" customHeight="false" outlineLevel="0" collapsed="false">
      <c r="B112" s="22" t="n">
        <v>0.4</v>
      </c>
      <c r="C112" s="14" t="n">
        <f aca="false">B112*$C$98</f>
        <v>0</v>
      </c>
      <c r="D112" s="14" t="n">
        <f aca="false">MIN(Datos!$C$16*C112,$C$98)</f>
        <v>0</v>
      </c>
      <c r="E112" s="44" t="n">
        <f aca="false">IF(C112=0,0,0.003*(C112-$D$98)/C112)</f>
        <v>0</v>
      </c>
      <c r="F112" s="44" t="n">
        <f aca="false">IF(C112=0,0,0.003*(C112-$C$98/2)/C112)</f>
        <v>0</v>
      </c>
      <c r="G112" s="44" t="n">
        <f aca="false">IF(C112=0,0,0.003*(C112-$E$98)/C112)</f>
        <v>0</v>
      </c>
      <c r="H112" s="14" t="n">
        <f aca="false">MAX(-Datos!$C$25,MIN(Datos!$C$25,Datos!$C$28*E112))</f>
        <v>0</v>
      </c>
      <c r="I112" s="14" t="n">
        <f aca="false">MAX(-Datos!$C$25,MIN(Datos!$C$25,Datos!$C$28*F112))</f>
        <v>0</v>
      </c>
      <c r="J112" s="14" t="n">
        <f aca="false">MAX(-Datos!$C$25,MIN(Datos!$C$25,Datos!$C$28*G112))</f>
        <v>0</v>
      </c>
      <c r="K112" s="33" t="n">
        <f aca="false">(0.85*Datos!$C$14*$B$98*D112+$F$98*(H112-IF($D$98&lt;D112,0.85*Datos!$C$14,0))+$H$98*(I112-IF($C$98/2&lt;D112,0.85*Datos!$C$14,0))+$G$98*(J112-IF($E$98&lt;D112,0.85*Datos!$C$14,0)))/1000</f>
        <v>0</v>
      </c>
      <c r="L112" s="33" t="n">
        <f aca="false">(0.85*Datos!$C$14*$B$98*D112*($C$98/2-D112/2)+$F$98*(H112-IF($D$98&lt;D112,0.85*Datos!$C$14,0))*($C$98/2-$D$98)+$G$98*(J112-IF($E$98&lt;D112,0.85*Datos!$C$14,0))*($C$98/2-$E$98))/10^6</f>
        <v>0</v>
      </c>
      <c r="M112" s="44" t="n">
        <f aca="false">-G112</f>
        <v>-0</v>
      </c>
      <c r="N112" s="30" t="n">
        <f aca="false">IF(M112&gt;=0.005,0.9,IF(M112&lt;=Datos!$C$25/Datos!$C$28,0.65,0.65+(M112-Datos!$C$25/Datos!$C$28)*0.25/(0.005-Datos!$C$25/Datos!$C$28)))</f>
        <v>0.65</v>
      </c>
      <c r="O112" s="33" t="n">
        <f aca="false">MIN(N112*K112,$J$98)</f>
        <v>0</v>
      </c>
      <c r="P112" s="33" t="n">
        <f aca="false">N112*L112</f>
        <v>0</v>
      </c>
    </row>
    <row r="113" customFormat="false" ht="15" hidden="false" customHeight="false" outlineLevel="0" collapsed="false">
      <c r="B113" s="22" t="n">
        <v>0.35</v>
      </c>
      <c r="C113" s="14" t="n">
        <f aca="false">B113*$C$98</f>
        <v>0</v>
      </c>
      <c r="D113" s="14" t="n">
        <f aca="false">MIN(Datos!$C$16*C113,$C$98)</f>
        <v>0</v>
      </c>
      <c r="E113" s="44" t="n">
        <f aca="false">IF(C113=0,0,0.003*(C113-$D$98)/C113)</f>
        <v>0</v>
      </c>
      <c r="F113" s="44" t="n">
        <f aca="false">IF(C113=0,0,0.003*(C113-$C$98/2)/C113)</f>
        <v>0</v>
      </c>
      <c r="G113" s="44" t="n">
        <f aca="false">IF(C113=0,0,0.003*(C113-$E$98)/C113)</f>
        <v>0</v>
      </c>
      <c r="H113" s="14" t="n">
        <f aca="false">MAX(-Datos!$C$25,MIN(Datos!$C$25,Datos!$C$28*E113))</f>
        <v>0</v>
      </c>
      <c r="I113" s="14" t="n">
        <f aca="false">MAX(-Datos!$C$25,MIN(Datos!$C$25,Datos!$C$28*F113))</f>
        <v>0</v>
      </c>
      <c r="J113" s="14" t="n">
        <f aca="false">MAX(-Datos!$C$25,MIN(Datos!$C$25,Datos!$C$28*G113))</f>
        <v>0</v>
      </c>
      <c r="K113" s="33" t="n">
        <f aca="false">(0.85*Datos!$C$14*$B$98*D113+$F$98*(H113-IF($D$98&lt;D113,0.85*Datos!$C$14,0))+$H$98*(I113-IF($C$98/2&lt;D113,0.85*Datos!$C$14,0))+$G$98*(J113-IF($E$98&lt;D113,0.85*Datos!$C$14,0)))/1000</f>
        <v>0</v>
      </c>
      <c r="L113" s="33" t="n">
        <f aca="false">(0.85*Datos!$C$14*$B$98*D113*($C$98/2-D113/2)+$F$98*(H113-IF($D$98&lt;D113,0.85*Datos!$C$14,0))*($C$98/2-$D$98)+$G$98*(J113-IF($E$98&lt;D113,0.85*Datos!$C$14,0))*($C$98/2-$E$98))/10^6</f>
        <v>0</v>
      </c>
      <c r="M113" s="44" t="n">
        <f aca="false">-G113</f>
        <v>-0</v>
      </c>
      <c r="N113" s="30" t="n">
        <f aca="false">IF(M113&gt;=0.005,0.9,IF(M113&lt;=Datos!$C$25/Datos!$C$28,0.65,0.65+(M113-Datos!$C$25/Datos!$C$28)*0.25/(0.005-Datos!$C$25/Datos!$C$28)))</f>
        <v>0.65</v>
      </c>
      <c r="O113" s="33" t="n">
        <f aca="false">MIN(N113*K113,$J$98)</f>
        <v>0</v>
      </c>
      <c r="P113" s="33" t="n">
        <f aca="false">N113*L113</f>
        <v>0</v>
      </c>
    </row>
    <row r="114" customFormat="false" ht="15" hidden="false" customHeight="false" outlineLevel="0" collapsed="false">
      <c r="B114" s="22" t="n">
        <v>0.3</v>
      </c>
      <c r="C114" s="14" t="n">
        <f aca="false">B114*$C$98</f>
        <v>0</v>
      </c>
      <c r="D114" s="14" t="n">
        <f aca="false">MIN(Datos!$C$16*C114,$C$98)</f>
        <v>0</v>
      </c>
      <c r="E114" s="44" t="n">
        <f aca="false">IF(C114=0,0,0.003*(C114-$D$98)/C114)</f>
        <v>0</v>
      </c>
      <c r="F114" s="44" t="n">
        <f aca="false">IF(C114=0,0,0.003*(C114-$C$98/2)/C114)</f>
        <v>0</v>
      </c>
      <c r="G114" s="44" t="n">
        <f aca="false">IF(C114=0,0,0.003*(C114-$E$98)/C114)</f>
        <v>0</v>
      </c>
      <c r="H114" s="14" t="n">
        <f aca="false">MAX(-Datos!$C$25,MIN(Datos!$C$25,Datos!$C$28*E114))</f>
        <v>0</v>
      </c>
      <c r="I114" s="14" t="n">
        <f aca="false">MAX(-Datos!$C$25,MIN(Datos!$C$25,Datos!$C$28*F114))</f>
        <v>0</v>
      </c>
      <c r="J114" s="14" t="n">
        <f aca="false">MAX(-Datos!$C$25,MIN(Datos!$C$25,Datos!$C$28*G114))</f>
        <v>0</v>
      </c>
      <c r="K114" s="33" t="n">
        <f aca="false">(0.85*Datos!$C$14*$B$98*D114+$F$98*(H114-IF($D$98&lt;D114,0.85*Datos!$C$14,0))+$H$98*(I114-IF($C$98/2&lt;D114,0.85*Datos!$C$14,0))+$G$98*(J114-IF($E$98&lt;D114,0.85*Datos!$C$14,0)))/1000</f>
        <v>0</v>
      </c>
      <c r="L114" s="33" t="n">
        <f aca="false">(0.85*Datos!$C$14*$B$98*D114*($C$98/2-D114/2)+$F$98*(H114-IF($D$98&lt;D114,0.85*Datos!$C$14,0))*($C$98/2-$D$98)+$G$98*(J114-IF($E$98&lt;D114,0.85*Datos!$C$14,0))*($C$98/2-$E$98))/10^6</f>
        <v>0</v>
      </c>
      <c r="M114" s="44" t="n">
        <f aca="false">-G114</f>
        <v>-0</v>
      </c>
      <c r="N114" s="30" t="n">
        <f aca="false">IF(M114&gt;=0.005,0.9,IF(M114&lt;=Datos!$C$25/Datos!$C$28,0.65,0.65+(M114-Datos!$C$25/Datos!$C$28)*0.25/(0.005-Datos!$C$25/Datos!$C$28)))</f>
        <v>0.65</v>
      </c>
      <c r="O114" s="33" t="n">
        <f aca="false">MIN(N114*K114,$J$98)</f>
        <v>0</v>
      </c>
      <c r="P114" s="33" t="n">
        <f aca="false">N114*L114</f>
        <v>0</v>
      </c>
    </row>
    <row r="115" customFormat="false" ht="15" hidden="false" customHeight="false" outlineLevel="0" collapsed="false">
      <c r="B115" s="22" t="n">
        <v>0.25</v>
      </c>
      <c r="C115" s="14" t="n">
        <f aca="false">B115*$C$98</f>
        <v>0</v>
      </c>
      <c r="D115" s="14" t="n">
        <f aca="false">MIN(Datos!$C$16*C115,$C$98)</f>
        <v>0</v>
      </c>
      <c r="E115" s="44" t="n">
        <f aca="false">IF(C115=0,0,0.003*(C115-$D$98)/C115)</f>
        <v>0</v>
      </c>
      <c r="F115" s="44" t="n">
        <f aca="false">IF(C115=0,0,0.003*(C115-$C$98/2)/C115)</f>
        <v>0</v>
      </c>
      <c r="G115" s="44" t="n">
        <f aca="false">IF(C115=0,0,0.003*(C115-$E$98)/C115)</f>
        <v>0</v>
      </c>
      <c r="H115" s="14" t="n">
        <f aca="false">MAX(-Datos!$C$25,MIN(Datos!$C$25,Datos!$C$28*E115))</f>
        <v>0</v>
      </c>
      <c r="I115" s="14" t="n">
        <f aca="false">MAX(-Datos!$C$25,MIN(Datos!$C$25,Datos!$C$28*F115))</f>
        <v>0</v>
      </c>
      <c r="J115" s="14" t="n">
        <f aca="false">MAX(-Datos!$C$25,MIN(Datos!$C$25,Datos!$C$28*G115))</f>
        <v>0</v>
      </c>
      <c r="K115" s="33" t="n">
        <f aca="false">(0.85*Datos!$C$14*$B$98*D115+$F$98*(H115-IF($D$98&lt;D115,0.85*Datos!$C$14,0))+$H$98*(I115-IF($C$98/2&lt;D115,0.85*Datos!$C$14,0))+$G$98*(J115-IF($E$98&lt;D115,0.85*Datos!$C$14,0)))/1000</f>
        <v>0</v>
      </c>
      <c r="L115" s="33" t="n">
        <f aca="false">(0.85*Datos!$C$14*$B$98*D115*($C$98/2-D115/2)+$F$98*(H115-IF($D$98&lt;D115,0.85*Datos!$C$14,0))*($C$98/2-$D$98)+$G$98*(J115-IF($E$98&lt;D115,0.85*Datos!$C$14,0))*($C$98/2-$E$98))/10^6</f>
        <v>0</v>
      </c>
      <c r="M115" s="44" t="n">
        <f aca="false">-G115</f>
        <v>-0</v>
      </c>
      <c r="N115" s="30" t="n">
        <f aca="false">IF(M115&gt;=0.005,0.9,IF(M115&lt;=Datos!$C$25/Datos!$C$28,0.65,0.65+(M115-Datos!$C$25/Datos!$C$28)*0.25/(0.005-Datos!$C$25/Datos!$C$28)))</f>
        <v>0.65</v>
      </c>
      <c r="O115" s="33" t="n">
        <f aca="false">MIN(N115*K115,$J$98)</f>
        <v>0</v>
      </c>
      <c r="P115" s="33" t="n">
        <f aca="false">N115*L115</f>
        <v>0</v>
      </c>
    </row>
    <row r="116" customFormat="false" ht="15" hidden="false" customHeight="false" outlineLevel="0" collapsed="false">
      <c r="B116" s="22" t="n">
        <v>0.2</v>
      </c>
      <c r="C116" s="14" t="n">
        <f aca="false">B116*$C$98</f>
        <v>0</v>
      </c>
      <c r="D116" s="14" t="n">
        <f aca="false">MIN(Datos!$C$16*C116,$C$98)</f>
        <v>0</v>
      </c>
      <c r="E116" s="44" t="n">
        <f aca="false">IF(C116=0,0,0.003*(C116-$D$98)/C116)</f>
        <v>0</v>
      </c>
      <c r="F116" s="44" t="n">
        <f aca="false">IF(C116=0,0,0.003*(C116-$C$98/2)/C116)</f>
        <v>0</v>
      </c>
      <c r="G116" s="44" t="n">
        <f aca="false">IF(C116=0,0,0.003*(C116-$E$98)/C116)</f>
        <v>0</v>
      </c>
      <c r="H116" s="14" t="n">
        <f aca="false">MAX(-Datos!$C$25,MIN(Datos!$C$25,Datos!$C$28*E116))</f>
        <v>0</v>
      </c>
      <c r="I116" s="14" t="n">
        <f aca="false">MAX(-Datos!$C$25,MIN(Datos!$C$25,Datos!$C$28*F116))</f>
        <v>0</v>
      </c>
      <c r="J116" s="14" t="n">
        <f aca="false">MAX(-Datos!$C$25,MIN(Datos!$C$25,Datos!$C$28*G116))</f>
        <v>0</v>
      </c>
      <c r="K116" s="33" t="n">
        <f aca="false">(0.85*Datos!$C$14*$B$98*D116+$F$98*(H116-IF($D$98&lt;D116,0.85*Datos!$C$14,0))+$H$98*(I116-IF($C$98/2&lt;D116,0.85*Datos!$C$14,0))+$G$98*(J116-IF($E$98&lt;D116,0.85*Datos!$C$14,0)))/1000</f>
        <v>0</v>
      </c>
      <c r="L116" s="33" t="n">
        <f aca="false">(0.85*Datos!$C$14*$B$98*D116*($C$98/2-D116/2)+$F$98*(H116-IF($D$98&lt;D116,0.85*Datos!$C$14,0))*($C$98/2-$D$98)+$G$98*(J116-IF($E$98&lt;D116,0.85*Datos!$C$14,0))*($C$98/2-$E$98))/10^6</f>
        <v>0</v>
      </c>
      <c r="M116" s="44" t="n">
        <f aca="false">-G116</f>
        <v>-0</v>
      </c>
      <c r="N116" s="30" t="n">
        <f aca="false">IF(M116&gt;=0.005,0.9,IF(M116&lt;=Datos!$C$25/Datos!$C$28,0.65,0.65+(M116-Datos!$C$25/Datos!$C$28)*0.25/(0.005-Datos!$C$25/Datos!$C$28)))</f>
        <v>0.65</v>
      </c>
      <c r="O116" s="33" t="n">
        <f aca="false">MIN(N116*K116,$J$98)</f>
        <v>0</v>
      </c>
      <c r="P116" s="33" t="n">
        <f aca="false">N116*L116</f>
        <v>0</v>
      </c>
    </row>
    <row r="117" customFormat="false" ht="15" hidden="false" customHeight="false" outlineLevel="0" collapsed="false">
      <c r="B117" s="22" t="n">
        <v>0.15</v>
      </c>
      <c r="C117" s="14" t="n">
        <f aca="false">B117*$C$98</f>
        <v>0</v>
      </c>
      <c r="D117" s="14" t="n">
        <f aca="false">MIN(Datos!$C$16*C117,$C$98)</f>
        <v>0</v>
      </c>
      <c r="E117" s="44" t="n">
        <f aca="false">IF(C117=0,0,0.003*(C117-$D$98)/C117)</f>
        <v>0</v>
      </c>
      <c r="F117" s="44" t="n">
        <f aca="false">IF(C117=0,0,0.003*(C117-$C$98/2)/C117)</f>
        <v>0</v>
      </c>
      <c r="G117" s="44" t="n">
        <f aca="false">IF(C117=0,0,0.003*(C117-$E$98)/C117)</f>
        <v>0</v>
      </c>
      <c r="H117" s="14" t="n">
        <f aca="false">MAX(-Datos!$C$25,MIN(Datos!$C$25,Datos!$C$28*E117))</f>
        <v>0</v>
      </c>
      <c r="I117" s="14" t="n">
        <f aca="false">MAX(-Datos!$C$25,MIN(Datos!$C$25,Datos!$C$28*F117))</f>
        <v>0</v>
      </c>
      <c r="J117" s="14" t="n">
        <f aca="false">MAX(-Datos!$C$25,MIN(Datos!$C$25,Datos!$C$28*G117))</f>
        <v>0</v>
      </c>
      <c r="K117" s="33" t="n">
        <f aca="false">(0.85*Datos!$C$14*$B$98*D117+$F$98*(H117-IF($D$98&lt;D117,0.85*Datos!$C$14,0))+$H$98*(I117-IF($C$98/2&lt;D117,0.85*Datos!$C$14,0))+$G$98*(J117-IF($E$98&lt;D117,0.85*Datos!$C$14,0)))/1000</f>
        <v>0</v>
      </c>
      <c r="L117" s="33" t="n">
        <f aca="false">(0.85*Datos!$C$14*$B$98*D117*($C$98/2-D117/2)+$F$98*(H117-IF($D$98&lt;D117,0.85*Datos!$C$14,0))*($C$98/2-$D$98)+$G$98*(J117-IF($E$98&lt;D117,0.85*Datos!$C$14,0))*($C$98/2-$E$98))/10^6</f>
        <v>0</v>
      </c>
      <c r="M117" s="44" t="n">
        <f aca="false">-G117</f>
        <v>-0</v>
      </c>
      <c r="N117" s="30" t="n">
        <f aca="false">IF(M117&gt;=0.005,0.9,IF(M117&lt;=Datos!$C$25/Datos!$C$28,0.65,0.65+(M117-Datos!$C$25/Datos!$C$28)*0.25/(0.005-Datos!$C$25/Datos!$C$28)))</f>
        <v>0.65</v>
      </c>
      <c r="O117" s="33" t="n">
        <f aca="false">MIN(N117*K117,$J$98)</f>
        <v>0</v>
      </c>
      <c r="P117" s="33" t="n">
        <f aca="false">N117*L117</f>
        <v>0</v>
      </c>
    </row>
    <row r="118" customFormat="false" ht="15" hidden="false" customHeight="false" outlineLevel="0" collapsed="false">
      <c r="B118" s="22" t="n">
        <v>0.1</v>
      </c>
      <c r="C118" s="14" t="n">
        <f aca="false">B118*$C$98</f>
        <v>0</v>
      </c>
      <c r="D118" s="14" t="n">
        <f aca="false">MIN(Datos!$C$16*C118,$C$98)</f>
        <v>0</v>
      </c>
      <c r="E118" s="44" t="n">
        <f aca="false">IF(C118=0,0,0.003*(C118-$D$98)/C118)</f>
        <v>0</v>
      </c>
      <c r="F118" s="44" t="n">
        <f aca="false">IF(C118=0,0,0.003*(C118-$C$98/2)/C118)</f>
        <v>0</v>
      </c>
      <c r="G118" s="44" t="n">
        <f aca="false">IF(C118=0,0,0.003*(C118-$E$98)/C118)</f>
        <v>0</v>
      </c>
      <c r="H118" s="14" t="n">
        <f aca="false">MAX(-Datos!$C$25,MIN(Datos!$C$25,Datos!$C$28*E118))</f>
        <v>0</v>
      </c>
      <c r="I118" s="14" t="n">
        <f aca="false">MAX(-Datos!$C$25,MIN(Datos!$C$25,Datos!$C$28*F118))</f>
        <v>0</v>
      </c>
      <c r="J118" s="14" t="n">
        <f aca="false">MAX(-Datos!$C$25,MIN(Datos!$C$25,Datos!$C$28*G118))</f>
        <v>0</v>
      </c>
      <c r="K118" s="33" t="n">
        <f aca="false">(0.85*Datos!$C$14*$B$98*D118+$F$98*(H118-IF($D$98&lt;D118,0.85*Datos!$C$14,0))+$H$98*(I118-IF($C$98/2&lt;D118,0.85*Datos!$C$14,0))+$G$98*(J118-IF($E$98&lt;D118,0.85*Datos!$C$14,0)))/1000</f>
        <v>0</v>
      </c>
      <c r="L118" s="33" t="n">
        <f aca="false">(0.85*Datos!$C$14*$B$98*D118*($C$98/2-D118/2)+$F$98*(H118-IF($D$98&lt;D118,0.85*Datos!$C$14,0))*($C$98/2-$D$98)+$G$98*(J118-IF($E$98&lt;D118,0.85*Datos!$C$14,0))*($C$98/2-$E$98))/10^6</f>
        <v>0</v>
      </c>
      <c r="M118" s="44" t="n">
        <f aca="false">-G118</f>
        <v>-0</v>
      </c>
      <c r="N118" s="30" t="n">
        <f aca="false">IF(M118&gt;=0.005,0.9,IF(M118&lt;=Datos!$C$25/Datos!$C$28,0.65,0.65+(M118-Datos!$C$25/Datos!$C$28)*0.25/(0.005-Datos!$C$25/Datos!$C$28)))</f>
        <v>0.65</v>
      </c>
      <c r="O118" s="33" t="n">
        <f aca="false">MIN(N118*K118,$J$98)</f>
        <v>0</v>
      </c>
      <c r="P118" s="33" t="n">
        <f aca="false">N118*L118</f>
        <v>0</v>
      </c>
    </row>
    <row r="119" customFormat="false" ht="15" hidden="false" customHeight="false" outlineLevel="0" collapsed="false">
      <c r="B119" s="22" t="n">
        <v>0.05</v>
      </c>
      <c r="C119" s="14" t="n">
        <f aca="false">B119*$C$98</f>
        <v>0</v>
      </c>
      <c r="D119" s="14" t="n">
        <f aca="false">MIN(Datos!$C$16*C119,$C$98)</f>
        <v>0</v>
      </c>
      <c r="E119" s="44" t="n">
        <f aca="false">IF(C119=0,0,0.003*(C119-$D$98)/C119)</f>
        <v>0</v>
      </c>
      <c r="F119" s="44" t="n">
        <f aca="false">IF(C119=0,0,0.003*(C119-$C$98/2)/C119)</f>
        <v>0</v>
      </c>
      <c r="G119" s="44" t="n">
        <f aca="false">IF(C119=0,0,0.003*(C119-$E$98)/C119)</f>
        <v>0</v>
      </c>
      <c r="H119" s="14" t="n">
        <f aca="false">MAX(-Datos!$C$25,MIN(Datos!$C$25,Datos!$C$28*E119))</f>
        <v>0</v>
      </c>
      <c r="I119" s="14" t="n">
        <f aca="false">MAX(-Datos!$C$25,MIN(Datos!$C$25,Datos!$C$28*F119))</f>
        <v>0</v>
      </c>
      <c r="J119" s="14" t="n">
        <f aca="false">MAX(-Datos!$C$25,MIN(Datos!$C$25,Datos!$C$28*G119))</f>
        <v>0</v>
      </c>
      <c r="K119" s="33" t="n">
        <f aca="false">(0.85*Datos!$C$14*$B$98*D119+$F$98*(H119-IF($D$98&lt;D119,0.85*Datos!$C$14,0))+$H$98*(I119-IF($C$98/2&lt;D119,0.85*Datos!$C$14,0))+$G$98*(J119-IF($E$98&lt;D119,0.85*Datos!$C$14,0)))/1000</f>
        <v>0</v>
      </c>
      <c r="L119" s="33" t="n">
        <f aca="false">(0.85*Datos!$C$14*$B$98*D119*($C$98/2-D119/2)+$F$98*(H119-IF($D$98&lt;D119,0.85*Datos!$C$14,0))*($C$98/2-$D$98)+$G$98*(J119-IF($E$98&lt;D119,0.85*Datos!$C$14,0))*($C$98/2-$E$98))/10^6</f>
        <v>0</v>
      </c>
      <c r="M119" s="44" t="n">
        <f aca="false">-G119</f>
        <v>-0</v>
      </c>
      <c r="N119" s="30" t="n">
        <f aca="false">IF(M119&gt;=0.005,0.9,IF(M119&lt;=Datos!$C$25/Datos!$C$28,0.65,0.65+(M119-Datos!$C$25/Datos!$C$28)*0.25/(0.005-Datos!$C$25/Datos!$C$28)))</f>
        <v>0.65</v>
      </c>
      <c r="O119" s="33" t="n">
        <f aca="false">MIN(N119*K119,$J$98)</f>
        <v>0</v>
      </c>
      <c r="P119" s="33" t="n">
        <f aca="false">N119*L119</f>
        <v>0</v>
      </c>
    </row>
    <row r="120" customFormat="false" ht="15" hidden="false" customHeight="false" outlineLevel="0" collapsed="false">
      <c r="B120" s="22" t="n">
        <v>0.02</v>
      </c>
      <c r="C120" s="14" t="n">
        <f aca="false">B120*$C$98</f>
        <v>0</v>
      </c>
      <c r="D120" s="14" t="n">
        <f aca="false">MIN(Datos!$C$16*C120,$C$98)</f>
        <v>0</v>
      </c>
      <c r="E120" s="44" t="n">
        <f aca="false">IF(C120=0,0,0.003*(C120-$D$98)/C120)</f>
        <v>0</v>
      </c>
      <c r="F120" s="44" t="n">
        <f aca="false">IF(C120=0,0,0.003*(C120-$C$98/2)/C120)</f>
        <v>0</v>
      </c>
      <c r="G120" s="44" t="n">
        <f aca="false">IF(C120=0,0,0.003*(C120-$E$98)/C120)</f>
        <v>0</v>
      </c>
      <c r="H120" s="14" t="n">
        <f aca="false">MAX(-Datos!$C$25,MIN(Datos!$C$25,Datos!$C$28*E120))</f>
        <v>0</v>
      </c>
      <c r="I120" s="14" t="n">
        <f aca="false">MAX(-Datos!$C$25,MIN(Datos!$C$25,Datos!$C$28*F120))</f>
        <v>0</v>
      </c>
      <c r="J120" s="14" t="n">
        <f aca="false">MAX(-Datos!$C$25,MIN(Datos!$C$25,Datos!$C$28*G120))</f>
        <v>0</v>
      </c>
      <c r="K120" s="33" t="n">
        <f aca="false">(0.85*Datos!$C$14*$B$98*D120+$F$98*(H120-IF($D$98&lt;D120,0.85*Datos!$C$14,0))+$H$98*(I120-IF($C$98/2&lt;D120,0.85*Datos!$C$14,0))+$G$98*(J120-IF($E$98&lt;D120,0.85*Datos!$C$14,0)))/1000</f>
        <v>0</v>
      </c>
      <c r="L120" s="33" t="n">
        <f aca="false">(0.85*Datos!$C$14*$B$98*D120*($C$98/2-D120/2)+$F$98*(H120-IF($D$98&lt;D120,0.85*Datos!$C$14,0))*($C$98/2-$D$98)+$G$98*(J120-IF($E$98&lt;D120,0.85*Datos!$C$14,0))*($C$98/2-$E$98))/10^6</f>
        <v>0</v>
      </c>
      <c r="M120" s="44" t="n">
        <f aca="false">-G120</f>
        <v>-0</v>
      </c>
      <c r="N120" s="30" t="n">
        <f aca="false">IF(M120&gt;=0.005,0.9,IF(M120&lt;=Datos!$C$25/Datos!$C$28,0.65,0.65+(M120-Datos!$C$25/Datos!$C$28)*0.25/(0.005-Datos!$C$25/Datos!$C$28)))</f>
        <v>0.65</v>
      </c>
      <c r="O120" s="33" t="n">
        <f aca="false">MIN(N120*K120,$J$98)</f>
        <v>0</v>
      </c>
      <c r="P120" s="33" t="n">
        <f aca="false">N120*L120</f>
        <v>0</v>
      </c>
    </row>
    <row r="122" customFormat="false" ht="15" hidden="false" customHeight="false" outlineLevel="0" collapsed="false">
      <c r="B122" s="45" t="s">
        <v>424</v>
      </c>
      <c r="P122" s="39" t="n">
        <f aca="false">IF(Columnas!$H$19="",0,IF(Columnas!$K$9&gt;$J$98,0,IF(Columnas!$K$9&lt;=$O$120,$P$120,IF(INDEX($O$100:$O$120,SUMPRODUCT(--($O$100:$O$120&gt;=Columnas!$K$9)))=INDEX($O$100:$O$120,SUMPRODUCT(--($O$100:$O$120&gt;=Columnas!$K$9))+1),INDEX($P$100:$P$120,SUMPRODUCT(--($O$100:$O$120&gt;=Columnas!$K$9))),INDEX($P$100:$P$120,SUMPRODUCT(--($O$100:$O$120&gt;=Columnas!$K$9)))+(INDEX($P$100:$P$120,SUMPRODUCT(--($O$100:$O$120&gt;=Columnas!$K$9))+1)-INDEX($P$100:$P$120,SUMPRODUCT(--($O$100:$O$120&gt;=Columnas!$K$9))))*(INDEX($O$100:$O$120,SUMPRODUCT(--($O$100:$O$120&gt;=Columnas!$K$9)))-Columnas!$K$9)/(INDEX($O$100:$O$120,SUMPRODUCT(--($O$100:$O$120&gt;=Columnas!$K$9)))-INDEX($O$100:$O$120,SUMPRODUCT(--($O$100:$O$120&gt;=Columnas!$K$9))+1))))))</f>
        <v>0</v>
      </c>
    </row>
    <row r="123" customFormat="false" ht="15" hidden="false" customHeight="false" outlineLevel="0" collapsed="false">
      <c r="B123" s="45" t="s">
        <v>425</v>
      </c>
      <c r="O123" s="33" t="n">
        <f aca="false">Columnas!$L$9</f>
        <v>0</v>
      </c>
      <c r="P123" s="33" t="str">
        <f aca="false">Columnas!$K$9</f>
        <v/>
      </c>
    </row>
    <row r="126" customFormat="false" ht="15" hidden="false" customHeight="false" outlineLevel="0" collapsed="false">
      <c r="B126" s="42" t="str">
        <f aca="false">IF(Columnas!B10="","(columna sin cargar)","Columna "&amp;Columnas!B10&amp;"  –  "&amp;Columnas!C10&amp;" × "&amp;Columnas!D10&amp;" cm")</f>
        <v>(columna sin cargar)</v>
      </c>
      <c r="C126" s="42"/>
      <c r="D126" s="42"/>
      <c r="E126" s="42"/>
      <c r="F126" s="42"/>
      <c r="G126" s="42"/>
      <c r="H126" s="42"/>
      <c r="I126" s="42"/>
      <c r="J126" s="42"/>
      <c r="K126" s="42"/>
      <c r="L126" s="42"/>
      <c r="M126" s="42"/>
      <c r="N126" s="42"/>
      <c r="O126" s="42"/>
      <c r="P126" s="42"/>
    </row>
    <row r="127" customFormat="false" ht="27.75" hidden="false" customHeight="true" outlineLevel="0" collapsed="false">
      <c r="B127" s="11" t="s">
        <v>401</v>
      </c>
      <c r="C127" s="11" t="s">
        <v>402</v>
      </c>
      <c r="D127" s="11" t="s">
        <v>403</v>
      </c>
      <c r="E127" s="11" t="s">
        <v>404</v>
      </c>
      <c r="F127" s="11" t="s">
        <v>405</v>
      </c>
      <c r="G127" s="11" t="s">
        <v>406</v>
      </c>
      <c r="H127" s="11" t="s">
        <v>407</v>
      </c>
      <c r="I127" s="11" t="s">
        <v>408</v>
      </c>
      <c r="J127" s="11" t="s">
        <v>389</v>
      </c>
      <c r="K127" s="43" t="s">
        <v>409</v>
      </c>
    </row>
    <row r="128" customFormat="false" ht="15" hidden="false" customHeight="false" outlineLevel="0" collapsed="false">
      <c r="B128" s="33" t="n">
        <f aca="false">IF(Columnas!$H$20="",0,Columnas!$C$10*10)</f>
        <v>0</v>
      </c>
      <c r="C128" s="33" t="n">
        <f aca="false">IF(Columnas!$H$20="",0,Columnas!$D$10*10)</f>
        <v>0</v>
      </c>
      <c r="D128" s="33" t="n">
        <f aca="false">IF(Columnas!$H$20="",0,Columnas!$J$20*10)</f>
        <v>0</v>
      </c>
      <c r="E128" s="33" t="n">
        <f aca="false">C128-D128</f>
        <v>0</v>
      </c>
      <c r="F128" s="33" t="n">
        <f aca="false">IF(Columnas!$H$20="",0,Columnas!$D$20*(PI()*Columnas!$E$20^2/4))</f>
        <v>0</v>
      </c>
      <c r="G128" s="33" t="n">
        <f aca="false">F128</f>
        <v>0</v>
      </c>
      <c r="H128" s="33" t="n">
        <f aca="false">IF(Columnas!$H$20="",0,(Columnas!$C$20-2*Columnas!$D$20)*(PI()*Columnas!$E$20^2/4))</f>
        <v>0</v>
      </c>
      <c r="I128" s="33" t="n">
        <f aca="false">(0.85*Datos!$C$14*(B128*C128-(F128+G128+H128))+Datos!$C$25*(F128+G128+H128))/1000</f>
        <v>0</v>
      </c>
      <c r="J128" s="33" t="n">
        <f aca="false">0.8*0.65*I128</f>
        <v>0</v>
      </c>
      <c r="K128" s="33" t="n">
        <f aca="false">J128</f>
        <v>0</v>
      </c>
    </row>
    <row r="129" customFormat="false" ht="27.75" hidden="false" customHeight="true" outlineLevel="0" collapsed="false">
      <c r="B129" s="11" t="s">
        <v>410</v>
      </c>
      <c r="C129" s="11" t="s">
        <v>411</v>
      </c>
      <c r="D129" s="11" t="s">
        <v>412</v>
      </c>
      <c r="E129" s="11" t="s">
        <v>413</v>
      </c>
      <c r="F129" s="11" t="s">
        <v>414</v>
      </c>
      <c r="G129" s="11" t="s">
        <v>415</v>
      </c>
      <c r="H129" s="11" t="s">
        <v>416</v>
      </c>
      <c r="I129" s="11" t="s">
        <v>417</v>
      </c>
      <c r="J129" s="11" t="s">
        <v>418</v>
      </c>
      <c r="K129" s="11" t="s">
        <v>419</v>
      </c>
      <c r="L129" s="11" t="s">
        <v>420</v>
      </c>
      <c r="M129" s="11" t="s">
        <v>421</v>
      </c>
      <c r="N129" s="11" t="s">
        <v>422</v>
      </c>
      <c r="O129" s="11" t="s">
        <v>423</v>
      </c>
      <c r="P129" s="11" t="s">
        <v>347</v>
      </c>
    </row>
    <row r="130" customFormat="false" ht="15" hidden="false" customHeight="false" outlineLevel="0" collapsed="false">
      <c r="B130" s="22" t="n">
        <v>100</v>
      </c>
      <c r="C130" s="14" t="n">
        <f aca="false">B130*$C$128</f>
        <v>0</v>
      </c>
      <c r="D130" s="14" t="n">
        <f aca="false">MIN(Datos!$C$16*C130,$C$128)</f>
        <v>0</v>
      </c>
      <c r="E130" s="44" t="n">
        <f aca="false">IF(C130=0,0,0.003*(C130-$D$128)/C130)</f>
        <v>0</v>
      </c>
      <c r="F130" s="44" t="n">
        <f aca="false">IF(C130=0,0,0.003*(C130-$C$128/2)/C130)</f>
        <v>0</v>
      </c>
      <c r="G130" s="44" t="n">
        <f aca="false">IF(C130=0,0,0.003*(C130-$E$128)/C130)</f>
        <v>0</v>
      </c>
      <c r="H130" s="14" t="n">
        <f aca="false">MAX(-Datos!$C$25,MIN(Datos!$C$25,Datos!$C$28*E130))</f>
        <v>0</v>
      </c>
      <c r="I130" s="14" t="n">
        <f aca="false">MAX(-Datos!$C$25,MIN(Datos!$C$25,Datos!$C$28*F130))</f>
        <v>0</v>
      </c>
      <c r="J130" s="14" t="n">
        <f aca="false">MAX(-Datos!$C$25,MIN(Datos!$C$25,Datos!$C$28*G130))</f>
        <v>0</v>
      </c>
      <c r="K130" s="33" t="n">
        <f aca="false">(0.85*Datos!$C$14*$B$128*D130+$F$128*(H130-IF($D$128&lt;D130,0.85*Datos!$C$14,0))+$H$128*(I130-IF($C$128/2&lt;D130,0.85*Datos!$C$14,0))+$G$128*(J130-IF($E$128&lt;D130,0.85*Datos!$C$14,0)))/1000</f>
        <v>0</v>
      </c>
      <c r="L130" s="33" t="n">
        <f aca="false">(0.85*Datos!$C$14*$B$128*D130*($C$128/2-D130/2)+$F$128*(H130-IF($D$128&lt;D130,0.85*Datos!$C$14,0))*($C$128/2-$D$128)+$G$128*(J130-IF($E$128&lt;D130,0.85*Datos!$C$14,0))*($C$128/2-$E$128))/10^6</f>
        <v>0</v>
      </c>
      <c r="M130" s="44" t="n">
        <f aca="false">-G130</f>
        <v>-0</v>
      </c>
      <c r="N130" s="30" t="n">
        <f aca="false">IF(M130&gt;=0.005,0.9,IF(M130&lt;=Datos!$C$25/Datos!$C$28,0.65,0.65+(M130-Datos!$C$25/Datos!$C$28)*0.25/(0.005-Datos!$C$25/Datos!$C$28)))</f>
        <v>0.65</v>
      </c>
      <c r="O130" s="33" t="n">
        <f aca="false">MIN(N130*K130,$J$128)</f>
        <v>0</v>
      </c>
      <c r="P130" s="33" t="n">
        <f aca="false">N130*L130</f>
        <v>0</v>
      </c>
    </row>
    <row r="131" customFormat="false" ht="15" hidden="false" customHeight="false" outlineLevel="0" collapsed="false">
      <c r="B131" s="22" t="n">
        <v>3</v>
      </c>
      <c r="C131" s="14" t="n">
        <f aca="false">B131*$C$128</f>
        <v>0</v>
      </c>
      <c r="D131" s="14" t="n">
        <f aca="false">MIN(Datos!$C$16*C131,$C$128)</f>
        <v>0</v>
      </c>
      <c r="E131" s="44" t="n">
        <f aca="false">IF(C131=0,0,0.003*(C131-$D$128)/C131)</f>
        <v>0</v>
      </c>
      <c r="F131" s="44" t="n">
        <f aca="false">IF(C131=0,0,0.003*(C131-$C$128/2)/C131)</f>
        <v>0</v>
      </c>
      <c r="G131" s="44" t="n">
        <f aca="false">IF(C131=0,0,0.003*(C131-$E$128)/C131)</f>
        <v>0</v>
      </c>
      <c r="H131" s="14" t="n">
        <f aca="false">MAX(-Datos!$C$25,MIN(Datos!$C$25,Datos!$C$28*E131))</f>
        <v>0</v>
      </c>
      <c r="I131" s="14" t="n">
        <f aca="false">MAX(-Datos!$C$25,MIN(Datos!$C$25,Datos!$C$28*F131))</f>
        <v>0</v>
      </c>
      <c r="J131" s="14" t="n">
        <f aca="false">MAX(-Datos!$C$25,MIN(Datos!$C$25,Datos!$C$28*G131))</f>
        <v>0</v>
      </c>
      <c r="K131" s="33" t="n">
        <f aca="false">(0.85*Datos!$C$14*$B$128*D131+$F$128*(H131-IF($D$128&lt;D131,0.85*Datos!$C$14,0))+$H$128*(I131-IF($C$128/2&lt;D131,0.85*Datos!$C$14,0))+$G$128*(J131-IF($E$128&lt;D131,0.85*Datos!$C$14,0)))/1000</f>
        <v>0</v>
      </c>
      <c r="L131" s="33" t="n">
        <f aca="false">(0.85*Datos!$C$14*$B$128*D131*($C$128/2-D131/2)+$F$128*(H131-IF($D$128&lt;D131,0.85*Datos!$C$14,0))*($C$128/2-$D$128)+$G$128*(J131-IF($E$128&lt;D131,0.85*Datos!$C$14,0))*($C$128/2-$E$128))/10^6</f>
        <v>0</v>
      </c>
      <c r="M131" s="44" t="n">
        <f aca="false">-G131</f>
        <v>-0</v>
      </c>
      <c r="N131" s="30" t="n">
        <f aca="false">IF(M131&gt;=0.005,0.9,IF(M131&lt;=Datos!$C$25/Datos!$C$28,0.65,0.65+(M131-Datos!$C$25/Datos!$C$28)*0.25/(0.005-Datos!$C$25/Datos!$C$28)))</f>
        <v>0.65</v>
      </c>
      <c r="O131" s="33" t="n">
        <f aca="false">MIN(N131*K131,$J$128)</f>
        <v>0</v>
      </c>
      <c r="P131" s="33" t="n">
        <f aca="false">N131*L131</f>
        <v>0</v>
      </c>
    </row>
    <row r="132" customFormat="false" ht="15" hidden="false" customHeight="false" outlineLevel="0" collapsed="false">
      <c r="B132" s="22" t="n">
        <v>2</v>
      </c>
      <c r="C132" s="14" t="n">
        <f aca="false">B132*$C$128</f>
        <v>0</v>
      </c>
      <c r="D132" s="14" t="n">
        <f aca="false">MIN(Datos!$C$16*C132,$C$128)</f>
        <v>0</v>
      </c>
      <c r="E132" s="44" t="n">
        <f aca="false">IF(C132=0,0,0.003*(C132-$D$128)/C132)</f>
        <v>0</v>
      </c>
      <c r="F132" s="44" t="n">
        <f aca="false">IF(C132=0,0,0.003*(C132-$C$128/2)/C132)</f>
        <v>0</v>
      </c>
      <c r="G132" s="44" t="n">
        <f aca="false">IF(C132=0,0,0.003*(C132-$E$128)/C132)</f>
        <v>0</v>
      </c>
      <c r="H132" s="14" t="n">
        <f aca="false">MAX(-Datos!$C$25,MIN(Datos!$C$25,Datos!$C$28*E132))</f>
        <v>0</v>
      </c>
      <c r="I132" s="14" t="n">
        <f aca="false">MAX(-Datos!$C$25,MIN(Datos!$C$25,Datos!$C$28*F132))</f>
        <v>0</v>
      </c>
      <c r="J132" s="14" t="n">
        <f aca="false">MAX(-Datos!$C$25,MIN(Datos!$C$25,Datos!$C$28*G132))</f>
        <v>0</v>
      </c>
      <c r="K132" s="33" t="n">
        <f aca="false">(0.85*Datos!$C$14*$B$128*D132+$F$128*(H132-IF($D$128&lt;D132,0.85*Datos!$C$14,0))+$H$128*(I132-IF($C$128/2&lt;D132,0.85*Datos!$C$14,0))+$G$128*(J132-IF($E$128&lt;D132,0.85*Datos!$C$14,0)))/1000</f>
        <v>0</v>
      </c>
      <c r="L132" s="33" t="n">
        <f aca="false">(0.85*Datos!$C$14*$B$128*D132*($C$128/2-D132/2)+$F$128*(H132-IF($D$128&lt;D132,0.85*Datos!$C$14,0))*($C$128/2-$D$128)+$G$128*(J132-IF($E$128&lt;D132,0.85*Datos!$C$14,0))*($C$128/2-$E$128))/10^6</f>
        <v>0</v>
      </c>
      <c r="M132" s="44" t="n">
        <f aca="false">-G132</f>
        <v>-0</v>
      </c>
      <c r="N132" s="30" t="n">
        <f aca="false">IF(M132&gt;=0.005,0.9,IF(M132&lt;=Datos!$C$25/Datos!$C$28,0.65,0.65+(M132-Datos!$C$25/Datos!$C$28)*0.25/(0.005-Datos!$C$25/Datos!$C$28)))</f>
        <v>0.65</v>
      </c>
      <c r="O132" s="33" t="n">
        <f aca="false">MIN(N132*K132,$J$128)</f>
        <v>0</v>
      </c>
      <c r="P132" s="33" t="n">
        <f aca="false">N132*L132</f>
        <v>0</v>
      </c>
    </row>
    <row r="133" customFormat="false" ht="15" hidden="false" customHeight="false" outlineLevel="0" collapsed="false">
      <c r="B133" s="22" t="n">
        <v>1.5</v>
      </c>
      <c r="C133" s="14" t="n">
        <f aca="false">B133*$C$128</f>
        <v>0</v>
      </c>
      <c r="D133" s="14" t="n">
        <f aca="false">MIN(Datos!$C$16*C133,$C$128)</f>
        <v>0</v>
      </c>
      <c r="E133" s="44" t="n">
        <f aca="false">IF(C133=0,0,0.003*(C133-$D$128)/C133)</f>
        <v>0</v>
      </c>
      <c r="F133" s="44" t="n">
        <f aca="false">IF(C133=0,0,0.003*(C133-$C$128/2)/C133)</f>
        <v>0</v>
      </c>
      <c r="G133" s="44" t="n">
        <f aca="false">IF(C133=0,0,0.003*(C133-$E$128)/C133)</f>
        <v>0</v>
      </c>
      <c r="H133" s="14" t="n">
        <f aca="false">MAX(-Datos!$C$25,MIN(Datos!$C$25,Datos!$C$28*E133))</f>
        <v>0</v>
      </c>
      <c r="I133" s="14" t="n">
        <f aca="false">MAX(-Datos!$C$25,MIN(Datos!$C$25,Datos!$C$28*F133))</f>
        <v>0</v>
      </c>
      <c r="J133" s="14" t="n">
        <f aca="false">MAX(-Datos!$C$25,MIN(Datos!$C$25,Datos!$C$28*G133))</f>
        <v>0</v>
      </c>
      <c r="K133" s="33" t="n">
        <f aca="false">(0.85*Datos!$C$14*$B$128*D133+$F$128*(H133-IF($D$128&lt;D133,0.85*Datos!$C$14,0))+$H$128*(I133-IF($C$128/2&lt;D133,0.85*Datos!$C$14,0))+$G$128*(J133-IF($E$128&lt;D133,0.85*Datos!$C$14,0)))/1000</f>
        <v>0</v>
      </c>
      <c r="L133" s="33" t="n">
        <f aca="false">(0.85*Datos!$C$14*$B$128*D133*($C$128/2-D133/2)+$F$128*(H133-IF($D$128&lt;D133,0.85*Datos!$C$14,0))*($C$128/2-$D$128)+$G$128*(J133-IF($E$128&lt;D133,0.85*Datos!$C$14,0))*($C$128/2-$E$128))/10^6</f>
        <v>0</v>
      </c>
      <c r="M133" s="44" t="n">
        <f aca="false">-G133</f>
        <v>-0</v>
      </c>
      <c r="N133" s="30" t="n">
        <f aca="false">IF(M133&gt;=0.005,0.9,IF(M133&lt;=Datos!$C$25/Datos!$C$28,0.65,0.65+(M133-Datos!$C$25/Datos!$C$28)*0.25/(0.005-Datos!$C$25/Datos!$C$28)))</f>
        <v>0.65</v>
      </c>
      <c r="O133" s="33" t="n">
        <f aca="false">MIN(N133*K133,$J$128)</f>
        <v>0</v>
      </c>
      <c r="P133" s="33" t="n">
        <f aca="false">N133*L133</f>
        <v>0</v>
      </c>
    </row>
    <row r="134" customFormat="false" ht="15" hidden="false" customHeight="false" outlineLevel="0" collapsed="false">
      <c r="B134" s="22" t="n">
        <v>1.2</v>
      </c>
      <c r="C134" s="14" t="n">
        <f aca="false">B134*$C$128</f>
        <v>0</v>
      </c>
      <c r="D134" s="14" t="n">
        <f aca="false">MIN(Datos!$C$16*C134,$C$128)</f>
        <v>0</v>
      </c>
      <c r="E134" s="44" t="n">
        <f aca="false">IF(C134=0,0,0.003*(C134-$D$128)/C134)</f>
        <v>0</v>
      </c>
      <c r="F134" s="44" t="n">
        <f aca="false">IF(C134=0,0,0.003*(C134-$C$128/2)/C134)</f>
        <v>0</v>
      </c>
      <c r="G134" s="44" t="n">
        <f aca="false">IF(C134=0,0,0.003*(C134-$E$128)/C134)</f>
        <v>0</v>
      </c>
      <c r="H134" s="14" t="n">
        <f aca="false">MAX(-Datos!$C$25,MIN(Datos!$C$25,Datos!$C$28*E134))</f>
        <v>0</v>
      </c>
      <c r="I134" s="14" t="n">
        <f aca="false">MAX(-Datos!$C$25,MIN(Datos!$C$25,Datos!$C$28*F134))</f>
        <v>0</v>
      </c>
      <c r="J134" s="14" t="n">
        <f aca="false">MAX(-Datos!$C$25,MIN(Datos!$C$25,Datos!$C$28*G134))</f>
        <v>0</v>
      </c>
      <c r="K134" s="33" t="n">
        <f aca="false">(0.85*Datos!$C$14*$B$128*D134+$F$128*(H134-IF($D$128&lt;D134,0.85*Datos!$C$14,0))+$H$128*(I134-IF($C$128/2&lt;D134,0.85*Datos!$C$14,0))+$G$128*(J134-IF($E$128&lt;D134,0.85*Datos!$C$14,0)))/1000</f>
        <v>0</v>
      </c>
      <c r="L134" s="33" t="n">
        <f aca="false">(0.85*Datos!$C$14*$B$128*D134*($C$128/2-D134/2)+$F$128*(H134-IF($D$128&lt;D134,0.85*Datos!$C$14,0))*($C$128/2-$D$128)+$G$128*(J134-IF($E$128&lt;D134,0.85*Datos!$C$14,0))*($C$128/2-$E$128))/10^6</f>
        <v>0</v>
      </c>
      <c r="M134" s="44" t="n">
        <f aca="false">-G134</f>
        <v>-0</v>
      </c>
      <c r="N134" s="30" t="n">
        <f aca="false">IF(M134&gt;=0.005,0.9,IF(M134&lt;=Datos!$C$25/Datos!$C$28,0.65,0.65+(M134-Datos!$C$25/Datos!$C$28)*0.25/(0.005-Datos!$C$25/Datos!$C$28)))</f>
        <v>0.65</v>
      </c>
      <c r="O134" s="33" t="n">
        <f aca="false">MIN(N134*K134,$J$128)</f>
        <v>0</v>
      </c>
      <c r="P134" s="33" t="n">
        <f aca="false">N134*L134</f>
        <v>0</v>
      </c>
    </row>
    <row r="135" customFormat="false" ht="15" hidden="false" customHeight="false" outlineLevel="0" collapsed="false">
      <c r="B135" s="22" t="n">
        <v>1</v>
      </c>
      <c r="C135" s="14" t="n">
        <f aca="false">B135*$C$128</f>
        <v>0</v>
      </c>
      <c r="D135" s="14" t="n">
        <f aca="false">MIN(Datos!$C$16*C135,$C$128)</f>
        <v>0</v>
      </c>
      <c r="E135" s="44" t="n">
        <f aca="false">IF(C135=0,0,0.003*(C135-$D$128)/C135)</f>
        <v>0</v>
      </c>
      <c r="F135" s="44" t="n">
        <f aca="false">IF(C135=0,0,0.003*(C135-$C$128/2)/C135)</f>
        <v>0</v>
      </c>
      <c r="G135" s="44" t="n">
        <f aca="false">IF(C135=0,0,0.003*(C135-$E$128)/C135)</f>
        <v>0</v>
      </c>
      <c r="H135" s="14" t="n">
        <f aca="false">MAX(-Datos!$C$25,MIN(Datos!$C$25,Datos!$C$28*E135))</f>
        <v>0</v>
      </c>
      <c r="I135" s="14" t="n">
        <f aca="false">MAX(-Datos!$C$25,MIN(Datos!$C$25,Datos!$C$28*F135))</f>
        <v>0</v>
      </c>
      <c r="J135" s="14" t="n">
        <f aca="false">MAX(-Datos!$C$25,MIN(Datos!$C$25,Datos!$C$28*G135))</f>
        <v>0</v>
      </c>
      <c r="K135" s="33" t="n">
        <f aca="false">(0.85*Datos!$C$14*$B$128*D135+$F$128*(H135-IF($D$128&lt;D135,0.85*Datos!$C$14,0))+$H$128*(I135-IF($C$128/2&lt;D135,0.85*Datos!$C$14,0))+$G$128*(J135-IF($E$128&lt;D135,0.85*Datos!$C$14,0)))/1000</f>
        <v>0</v>
      </c>
      <c r="L135" s="33" t="n">
        <f aca="false">(0.85*Datos!$C$14*$B$128*D135*($C$128/2-D135/2)+$F$128*(H135-IF($D$128&lt;D135,0.85*Datos!$C$14,0))*($C$128/2-$D$128)+$G$128*(J135-IF($E$128&lt;D135,0.85*Datos!$C$14,0))*($C$128/2-$E$128))/10^6</f>
        <v>0</v>
      </c>
      <c r="M135" s="44" t="n">
        <f aca="false">-G135</f>
        <v>-0</v>
      </c>
      <c r="N135" s="30" t="n">
        <f aca="false">IF(M135&gt;=0.005,0.9,IF(M135&lt;=Datos!$C$25/Datos!$C$28,0.65,0.65+(M135-Datos!$C$25/Datos!$C$28)*0.25/(0.005-Datos!$C$25/Datos!$C$28)))</f>
        <v>0.65</v>
      </c>
      <c r="O135" s="33" t="n">
        <f aca="false">MIN(N135*K135,$J$128)</f>
        <v>0</v>
      </c>
      <c r="P135" s="33" t="n">
        <f aca="false">N135*L135</f>
        <v>0</v>
      </c>
    </row>
    <row r="136" customFormat="false" ht="15" hidden="false" customHeight="false" outlineLevel="0" collapsed="false">
      <c r="B136" s="22" t="n">
        <v>0.9</v>
      </c>
      <c r="C136" s="14" t="n">
        <f aca="false">B136*$C$128</f>
        <v>0</v>
      </c>
      <c r="D136" s="14" t="n">
        <f aca="false">MIN(Datos!$C$16*C136,$C$128)</f>
        <v>0</v>
      </c>
      <c r="E136" s="44" t="n">
        <f aca="false">IF(C136=0,0,0.003*(C136-$D$128)/C136)</f>
        <v>0</v>
      </c>
      <c r="F136" s="44" t="n">
        <f aca="false">IF(C136=0,0,0.003*(C136-$C$128/2)/C136)</f>
        <v>0</v>
      </c>
      <c r="G136" s="44" t="n">
        <f aca="false">IF(C136=0,0,0.003*(C136-$E$128)/C136)</f>
        <v>0</v>
      </c>
      <c r="H136" s="14" t="n">
        <f aca="false">MAX(-Datos!$C$25,MIN(Datos!$C$25,Datos!$C$28*E136))</f>
        <v>0</v>
      </c>
      <c r="I136" s="14" t="n">
        <f aca="false">MAX(-Datos!$C$25,MIN(Datos!$C$25,Datos!$C$28*F136))</f>
        <v>0</v>
      </c>
      <c r="J136" s="14" t="n">
        <f aca="false">MAX(-Datos!$C$25,MIN(Datos!$C$25,Datos!$C$28*G136))</f>
        <v>0</v>
      </c>
      <c r="K136" s="33" t="n">
        <f aca="false">(0.85*Datos!$C$14*$B$128*D136+$F$128*(H136-IF($D$128&lt;D136,0.85*Datos!$C$14,0))+$H$128*(I136-IF($C$128/2&lt;D136,0.85*Datos!$C$14,0))+$G$128*(J136-IF($E$128&lt;D136,0.85*Datos!$C$14,0)))/1000</f>
        <v>0</v>
      </c>
      <c r="L136" s="33" t="n">
        <f aca="false">(0.85*Datos!$C$14*$B$128*D136*($C$128/2-D136/2)+$F$128*(H136-IF($D$128&lt;D136,0.85*Datos!$C$14,0))*($C$128/2-$D$128)+$G$128*(J136-IF($E$128&lt;D136,0.85*Datos!$C$14,0))*($C$128/2-$E$128))/10^6</f>
        <v>0</v>
      </c>
      <c r="M136" s="44" t="n">
        <f aca="false">-G136</f>
        <v>-0</v>
      </c>
      <c r="N136" s="30" t="n">
        <f aca="false">IF(M136&gt;=0.005,0.9,IF(M136&lt;=Datos!$C$25/Datos!$C$28,0.65,0.65+(M136-Datos!$C$25/Datos!$C$28)*0.25/(0.005-Datos!$C$25/Datos!$C$28)))</f>
        <v>0.65</v>
      </c>
      <c r="O136" s="33" t="n">
        <f aca="false">MIN(N136*K136,$J$128)</f>
        <v>0</v>
      </c>
      <c r="P136" s="33" t="n">
        <f aca="false">N136*L136</f>
        <v>0</v>
      </c>
    </row>
    <row r="137" customFormat="false" ht="15" hidden="false" customHeight="false" outlineLevel="0" collapsed="false">
      <c r="B137" s="22" t="n">
        <v>0.8</v>
      </c>
      <c r="C137" s="14" t="n">
        <f aca="false">B137*$C$128</f>
        <v>0</v>
      </c>
      <c r="D137" s="14" t="n">
        <f aca="false">MIN(Datos!$C$16*C137,$C$128)</f>
        <v>0</v>
      </c>
      <c r="E137" s="44" t="n">
        <f aca="false">IF(C137=0,0,0.003*(C137-$D$128)/C137)</f>
        <v>0</v>
      </c>
      <c r="F137" s="44" t="n">
        <f aca="false">IF(C137=0,0,0.003*(C137-$C$128/2)/C137)</f>
        <v>0</v>
      </c>
      <c r="G137" s="44" t="n">
        <f aca="false">IF(C137=0,0,0.003*(C137-$E$128)/C137)</f>
        <v>0</v>
      </c>
      <c r="H137" s="14" t="n">
        <f aca="false">MAX(-Datos!$C$25,MIN(Datos!$C$25,Datos!$C$28*E137))</f>
        <v>0</v>
      </c>
      <c r="I137" s="14" t="n">
        <f aca="false">MAX(-Datos!$C$25,MIN(Datos!$C$25,Datos!$C$28*F137))</f>
        <v>0</v>
      </c>
      <c r="J137" s="14" t="n">
        <f aca="false">MAX(-Datos!$C$25,MIN(Datos!$C$25,Datos!$C$28*G137))</f>
        <v>0</v>
      </c>
      <c r="K137" s="33" t="n">
        <f aca="false">(0.85*Datos!$C$14*$B$128*D137+$F$128*(H137-IF($D$128&lt;D137,0.85*Datos!$C$14,0))+$H$128*(I137-IF($C$128/2&lt;D137,0.85*Datos!$C$14,0))+$G$128*(J137-IF($E$128&lt;D137,0.85*Datos!$C$14,0)))/1000</f>
        <v>0</v>
      </c>
      <c r="L137" s="33" t="n">
        <f aca="false">(0.85*Datos!$C$14*$B$128*D137*($C$128/2-D137/2)+$F$128*(H137-IF($D$128&lt;D137,0.85*Datos!$C$14,0))*($C$128/2-$D$128)+$G$128*(J137-IF($E$128&lt;D137,0.85*Datos!$C$14,0))*($C$128/2-$E$128))/10^6</f>
        <v>0</v>
      </c>
      <c r="M137" s="44" t="n">
        <f aca="false">-G137</f>
        <v>-0</v>
      </c>
      <c r="N137" s="30" t="n">
        <f aca="false">IF(M137&gt;=0.005,0.9,IF(M137&lt;=Datos!$C$25/Datos!$C$28,0.65,0.65+(M137-Datos!$C$25/Datos!$C$28)*0.25/(0.005-Datos!$C$25/Datos!$C$28)))</f>
        <v>0.65</v>
      </c>
      <c r="O137" s="33" t="n">
        <f aca="false">MIN(N137*K137,$J$128)</f>
        <v>0</v>
      </c>
      <c r="P137" s="33" t="n">
        <f aca="false">N137*L137</f>
        <v>0</v>
      </c>
    </row>
    <row r="138" customFormat="false" ht="15" hidden="false" customHeight="false" outlineLevel="0" collapsed="false">
      <c r="B138" s="22" t="n">
        <v>0.7</v>
      </c>
      <c r="C138" s="14" t="n">
        <f aca="false">B138*$C$128</f>
        <v>0</v>
      </c>
      <c r="D138" s="14" t="n">
        <f aca="false">MIN(Datos!$C$16*C138,$C$128)</f>
        <v>0</v>
      </c>
      <c r="E138" s="44" t="n">
        <f aca="false">IF(C138=0,0,0.003*(C138-$D$128)/C138)</f>
        <v>0</v>
      </c>
      <c r="F138" s="44" t="n">
        <f aca="false">IF(C138=0,0,0.003*(C138-$C$128/2)/C138)</f>
        <v>0</v>
      </c>
      <c r="G138" s="44" t="n">
        <f aca="false">IF(C138=0,0,0.003*(C138-$E$128)/C138)</f>
        <v>0</v>
      </c>
      <c r="H138" s="14" t="n">
        <f aca="false">MAX(-Datos!$C$25,MIN(Datos!$C$25,Datos!$C$28*E138))</f>
        <v>0</v>
      </c>
      <c r="I138" s="14" t="n">
        <f aca="false">MAX(-Datos!$C$25,MIN(Datos!$C$25,Datos!$C$28*F138))</f>
        <v>0</v>
      </c>
      <c r="J138" s="14" t="n">
        <f aca="false">MAX(-Datos!$C$25,MIN(Datos!$C$25,Datos!$C$28*G138))</f>
        <v>0</v>
      </c>
      <c r="K138" s="33" t="n">
        <f aca="false">(0.85*Datos!$C$14*$B$128*D138+$F$128*(H138-IF($D$128&lt;D138,0.85*Datos!$C$14,0))+$H$128*(I138-IF($C$128/2&lt;D138,0.85*Datos!$C$14,0))+$G$128*(J138-IF($E$128&lt;D138,0.85*Datos!$C$14,0)))/1000</f>
        <v>0</v>
      </c>
      <c r="L138" s="33" t="n">
        <f aca="false">(0.85*Datos!$C$14*$B$128*D138*($C$128/2-D138/2)+$F$128*(H138-IF($D$128&lt;D138,0.85*Datos!$C$14,0))*($C$128/2-$D$128)+$G$128*(J138-IF($E$128&lt;D138,0.85*Datos!$C$14,0))*($C$128/2-$E$128))/10^6</f>
        <v>0</v>
      </c>
      <c r="M138" s="44" t="n">
        <f aca="false">-G138</f>
        <v>-0</v>
      </c>
      <c r="N138" s="30" t="n">
        <f aca="false">IF(M138&gt;=0.005,0.9,IF(M138&lt;=Datos!$C$25/Datos!$C$28,0.65,0.65+(M138-Datos!$C$25/Datos!$C$28)*0.25/(0.005-Datos!$C$25/Datos!$C$28)))</f>
        <v>0.65</v>
      </c>
      <c r="O138" s="33" t="n">
        <f aca="false">MIN(N138*K138,$J$128)</f>
        <v>0</v>
      </c>
      <c r="P138" s="33" t="n">
        <f aca="false">N138*L138</f>
        <v>0</v>
      </c>
    </row>
    <row r="139" customFormat="false" ht="15" hidden="false" customHeight="false" outlineLevel="0" collapsed="false">
      <c r="B139" s="22" t="n">
        <v>0.6</v>
      </c>
      <c r="C139" s="14" t="n">
        <f aca="false">B139*$C$128</f>
        <v>0</v>
      </c>
      <c r="D139" s="14" t="n">
        <f aca="false">MIN(Datos!$C$16*C139,$C$128)</f>
        <v>0</v>
      </c>
      <c r="E139" s="44" t="n">
        <f aca="false">IF(C139=0,0,0.003*(C139-$D$128)/C139)</f>
        <v>0</v>
      </c>
      <c r="F139" s="44" t="n">
        <f aca="false">IF(C139=0,0,0.003*(C139-$C$128/2)/C139)</f>
        <v>0</v>
      </c>
      <c r="G139" s="44" t="n">
        <f aca="false">IF(C139=0,0,0.003*(C139-$E$128)/C139)</f>
        <v>0</v>
      </c>
      <c r="H139" s="14" t="n">
        <f aca="false">MAX(-Datos!$C$25,MIN(Datos!$C$25,Datos!$C$28*E139))</f>
        <v>0</v>
      </c>
      <c r="I139" s="14" t="n">
        <f aca="false">MAX(-Datos!$C$25,MIN(Datos!$C$25,Datos!$C$28*F139))</f>
        <v>0</v>
      </c>
      <c r="J139" s="14" t="n">
        <f aca="false">MAX(-Datos!$C$25,MIN(Datos!$C$25,Datos!$C$28*G139))</f>
        <v>0</v>
      </c>
      <c r="K139" s="33" t="n">
        <f aca="false">(0.85*Datos!$C$14*$B$128*D139+$F$128*(H139-IF($D$128&lt;D139,0.85*Datos!$C$14,0))+$H$128*(I139-IF($C$128/2&lt;D139,0.85*Datos!$C$14,0))+$G$128*(J139-IF($E$128&lt;D139,0.85*Datos!$C$14,0)))/1000</f>
        <v>0</v>
      </c>
      <c r="L139" s="33" t="n">
        <f aca="false">(0.85*Datos!$C$14*$B$128*D139*($C$128/2-D139/2)+$F$128*(H139-IF($D$128&lt;D139,0.85*Datos!$C$14,0))*($C$128/2-$D$128)+$G$128*(J139-IF($E$128&lt;D139,0.85*Datos!$C$14,0))*($C$128/2-$E$128))/10^6</f>
        <v>0</v>
      </c>
      <c r="M139" s="44" t="n">
        <f aca="false">-G139</f>
        <v>-0</v>
      </c>
      <c r="N139" s="30" t="n">
        <f aca="false">IF(M139&gt;=0.005,0.9,IF(M139&lt;=Datos!$C$25/Datos!$C$28,0.65,0.65+(M139-Datos!$C$25/Datos!$C$28)*0.25/(0.005-Datos!$C$25/Datos!$C$28)))</f>
        <v>0.65</v>
      </c>
      <c r="O139" s="33" t="n">
        <f aca="false">MIN(N139*K139,$J$128)</f>
        <v>0</v>
      </c>
      <c r="P139" s="33" t="n">
        <f aca="false">N139*L139</f>
        <v>0</v>
      </c>
    </row>
    <row r="140" customFormat="false" ht="15" hidden="false" customHeight="false" outlineLevel="0" collapsed="false">
      <c r="B140" s="22" t="n">
        <v>0.5</v>
      </c>
      <c r="C140" s="14" t="n">
        <f aca="false">B140*$C$128</f>
        <v>0</v>
      </c>
      <c r="D140" s="14" t="n">
        <f aca="false">MIN(Datos!$C$16*C140,$C$128)</f>
        <v>0</v>
      </c>
      <c r="E140" s="44" t="n">
        <f aca="false">IF(C140=0,0,0.003*(C140-$D$128)/C140)</f>
        <v>0</v>
      </c>
      <c r="F140" s="44" t="n">
        <f aca="false">IF(C140=0,0,0.003*(C140-$C$128/2)/C140)</f>
        <v>0</v>
      </c>
      <c r="G140" s="44" t="n">
        <f aca="false">IF(C140=0,0,0.003*(C140-$E$128)/C140)</f>
        <v>0</v>
      </c>
      <c r="H140" s="14" t="n">
        <f aca="false">MAX(-Datos!$C$25,MIN(Datos!$C$25,Datos!$C$28*E140))</f>
        <v>0</v>
      </c>
      <c r="I140" s="14" t="n">
        <f aca="false">MAX(-Datos!$C$25,MIN(Datos!$C$25,Datos!$C$28*F140))</f>
        <v>0</v>
      </c>
      <c r="J140" s="14" t="n">
        <f aca="false">MAX(-Datos!$C$25,MIN(Datos!$C$25,Datos!$C$28*G140))</f>
        <v>0</v>
      </c>
      <c r="K140" s="33" t="n">
        <f aca="false">(0.85*Datos!$C$14*$B$128*D140+$F$128*(H140-IF($D$128&lt;D140,0.85*Datos!$C$14,0))+$H$128*(I140-IF($C$128/2&lt;D140,0.85*Datos!$C$14,0))+$G$128*(J140-IF($E$128&lt;D140,0.85*Datos!$C$14,0)))/1000</f>
        <v>0</v>
      </c>
      <c r="L140" s="33" t="n">
        <f aca="false">(0.85*Datos!$C$14*$B$128*D140*($C$128/2-D140/2)+$F$128*(H140-IF($D$128&lt;D140,0.85*Datos!$C$14,0))*($C$128/2-$D$128)+$G$128*(J140-IF($E$128&lt;D140,0.85*Datos!$C$14,0))*($C$128/2-$E$128))/10^6</f>
        <v>0</v>
      </c>
      <c r="M140" s="44" t="n">
        <f aca="false">-G140</f>
        <v>-0</v>
      </c>
      <c r="N140" s="30" t="n">
        <f aca="false">IF(M140&gt;=0.005,0.9,IF(M140&lt;=Datos!$C$25/Datos!$C$28,0.65,0.65+(M140-Datos!$C$25/Datos!$C$28)*0.25/(0.005-Datos!$C$25/Datos!$C$28)))</f>
        <v>0.65</v>
      </c>
      <c r="O140" s="33" t="n">
        <f aca="false">MIN(N140*K140,$J$128)</f>
        <v>0</v>
      </c>
      <c r="P140" s="33" t="n">
        <f aca="false">N140*L140</f>
        <v>0</v>
      </c>
    </row>
    <row r="141" customFormat="false" ht="15" hidden="false" customHeight="false" outlineLevel="0" collapsed="false">
      <c r="B141" s="22" t="n">
        <v>0.45</v>
      </c>
      <c r="C141" s="14" t="n">
        <f aca="false">B141*$C$128</f>
        <v>0</v>
      </c>
      <c r="D141" s="14" t="n">
        <f aca="false">MIN(Datos!$C$16*C141,$C$128)</f>
        <v>0</v>
      </c>
      <c r="E141" s="44" t="n">
        <f aca="false">IF(C141=0,0,0.003*(C141-$D$128)/C141)</f>
        <v>0</v>
      </c>
      <c r="F141" s="44" t="n">
        <f aca="false">IF(C141=0,0,0.003*(C141-$C$128/2)/C141)</f>
        <v>0</v>
      </c>
      <c r="G141" s="44" t="n">
        <f aca="false">IF(C141=0,0,0.003*(C141-$E$128)/C141)</f>
        <v>0</v>
      </c>
      <c r="H141" s="14" t="n">
        <f aca="false">MAX(-Datos!$C$25,MIN(Datos!$C$25,Datos!$C$28*E141))</f>
        <v>0</v>
      </c>
      <c r="I141" s="14" t="n">
        <f aca="false">MAX(-Datos!$C$25,MIN(Datos!$C$25,Datos!$C$28*F141))</f>
        <v>0</v>
      </c>
      <c r="J141" s="14" t="n">
        <f aca="false">MAX(-Datos!$C$25,MIN(Datos!$C$25,Datos!$C$28*G141))</f>
        <v>0</v>
      </c>
      <c r="K141" s="33" t="n">
        <f aca="false">(0.85*Datos!$C$14*$B$128*D141+$F$128*(H141-IF($D$128&lt;D141,0.85*Datos!$C$14,0))+$H$128*(I141-IF($C$128/2&lt;D141,0.85*Datos!$C$14,0))+$G$128*(J141-IF($E$128&lt;D141,0.85*Datos!$C$14,0)))/1000</f>
        <v>0</v>
      </c>
      <c r="L141" s="33" t="n">
        <f aca="false">(0.85*Datos!$C$14*$B$128*D141*($C$128/2-D141/2)+$F$128*(H141-IF($D$128&lt;D141,0.85*Datos!$C$14,0))*($C$128/2-$D$128)+$G$128*(J141-IF($E$128&lt;D141,0.85*Datos!$C$14,0))*($C$128/2-$E$128))/10^6</f>
        <v>0</v>
      </c>
      <c r="M141" s="44" t="n">
        <f aca="false">-G141</f>
        <v>-0</v>
      </c>
      <c r="N141" s="30" t="n">
        <f aca="false">IF(M141&gt;=0.005,0.9,IF(M141&lt;=Datos!$C$25/Datos!$C$28,0.65,0.65+(M141-Datos!$C$25/Datos!$C$28)*0.25/(0.005-Datos!$C$25/Datos!$C$28)))</f>
        <v>0.65</v>
      </c>
      <c r="O141" s="33" t="n">
        <f aca="false">MIN(N141*K141,$J$128)</f>
        <v>0</v>
      </c>
      <c r="P141" s="33" t="n">
        <f aca="false">N141*L141</f>
        <v>0</v>
      </c>
    </row>
    <row r="142" customFormat="false" ht="15" hidden="false" customHeight="false" outlineLevel="0" collapsed="false">
      <c r="B142" s="22" t="n">
        <v>0.4</v>
      </c>
      <c r="C142" s="14" t="n">
        <f aca="false">B142*$C$128</f>
        <v>0</v>
      </c>
      <c r="D142" s="14" t="n">
        <f aca="false">MIN(Datos!$C$16*C142,$C$128)</f>
        <v>0</v>
      </c>
      <c r="E142" s="44" t="n">
        <f aca="false">IF(C142=0,0,0.003*(C142-$D$128)/C142)</f>
        <v>0</v>
      </c>
      <c r="F142" s="44" t="n">
        <f aca="false">IF(C142=0,0,0.003*(C142-$C$128/2)/C142)</f>
        <v>0</v>
      </c>
      <c r="G142" s="44" t="n">
        <f aca="false">IF(C142=0,0,0.003*(C142-$E$128)/C142)</f>
        <v>0</v>
      </c>
      <c r="H142" s="14" t="n">
        <f aca="false">MAX(-Datos!$C$25,MIN(Datos!$C$25,Datos!$C$28*E142))</f>
        <v>0</v>
      </c>
      <c r="I142" s="14" t="n">
        <f aca="false">MAX(-Datos!$C$25,MIN(Datos!$C$25,Datos!$C$28*F142))</f>
        <v>0</v>
      </c>
      <c r="J142" s="14" t="n">
        <f aca="false">MAX(-Datos!$C$25,MIN(Datos!$C$25,Datos!$C$28*G142))</f>
        <v>0</v>
      </c>
      <c r="K142" s="33" t="n">
        <f aca="false">(0.85*Datos!$C$14*$B$128*D142+$F$128*(H142-IF($D$128&lt;D142,0.85*Datos!$C$14,0))+$H$128*(I142-IF($C$128/2&lt;D142,0.85*Datos!$C$14,0))+$G$128*(J142-IF($E$128&lt;D142,0.85*Datos!$C$14,0)))/1000</f>
        <v>0</v>
      </c>
      <c r="L142" s="33" t="n">
        <f aca="false">(0.85*Datos!$C$14*$B$128*D142*($C$128/2-D142/2)+$F$128*(H142-IF($D$128&lt;D142,0.85*Datos!$C$14,0))*($C$128/2-$D$128)+$G$128*(J142-IF($E$128&lt;D142,0.85*Datos!$C$14,0))*($C$128/2-$E$128))/10^6</f>
        <v>0</v>
      </c>
      <c r="M142" s="44" t="n">
        <f aca="false">-G142</f>
        <v>-0</v>
      </c>
      <c r="N142" s="30" t="n">
        <f aca="false">IF(M142&gt;=0.005,0.9,IF(M142&lt;=Datos!$C$25/Datos!$C$28,0.65,0.65+(M142-Datos!$C$25/Datos!$C$28)*0.25/(0.005-Datos!$C$25/Datos!$C$28)))</f>
        <v>0.65</v>
      </c>
      <c r="O142" s="33" t="n">
        <f aca="false">MIN(N142*K142,$J$128)</f>
        <v>0</v>
      </c>
      <c r="P142" s="33" t="n">
        <f aca="false">N142*L142</f>
        <v>0</v>
      </c>
    </row>
    <row r="143" customFormat="false" ht="15" hidden="false" customHeight="false" outlineLevel="0" collapsed="false">
      <c r="B143" s="22" t="n">
        <v>0.35</v>
      </c>
      <c r="C143" s="14" t="n">
        <f aca="false">B143*$C$128</f>
        <v>0</v>
      </c>
      <c r="D143" s="14" t="n">
        <f aca="false">MIN(Datos!$C$16*C143,$C$128)</f>
        <v>0</v>
      </c>
      <c r="E143" s="44" t="n">
        <f aca="false">IF(C143=0,0,0.003*(C143-$D$128)/C143)</f>
        <v>0</v>
      </c>
      <c r="F143" s="44" t="n">
        <f aca="false">IF(C143=0,0,0.003*(C143-$C$128/2)/C143)</f>
        <v>0</v>
      </c>
      <c r="G143" s="44" t="n">
        <f aca="false">IF(C143=0,0,0.003*(C143-$E$128)/C143)</f>
        <v>0</v>
      </c>
      <c r="H143" s="14" t="n">
        <f aca="false">MAX(-Datos!$C$25,MIN(Datos!$C$25,Datos!$C$28*E143))</f>
        <v>0</v>
      </c>
      <c r="I143" s="14" t="n">
        <f aca="false">MAX(-Datos!$C$25,MIN(Datos!$C$25,Datos!$C$28*F143))</f>
        <v>0</v>
      </c>
      <c r="J143" s="14" t="n">
        <f aca="false">MAX(-Datos!$C$25,MIN(Datos!$C$25,Datos!$C$28*G143))</f>
        <v>0</v>
      </c>
      <c r="K143" s="33" t="n">
        <f aca="false">(0.85*Datos!$C$14*$B$128*D143+$F$128*(H143-IF($D$128&lt;D143,0.85*Datos!$C$14,0))+$H$128*(I143-IF($C$128/2&lt;D143,0.85*Datos!$C$14,0))+$G$128*(J143-IF($E$128&lt;D143,0.85*Datos!$C$14,0)))/1000</f>
        <v>0</v>
      </c>
      <c r="L143" s="33" t="n">
        <f aca="false">(0.85*Datos!$C$14*$B$128*D143*($C$128/2-D143/2)+$F$128*(H143-IF($D$128&lt;D143,0.85*Datos!$C$14,0))*($C$128/2-$D$128)+$G$128*(J143-IF($E$128&lt;D143,0.85*Datos!$C$14,0))*($C$128/2-$E$128))/10^6</f>
        <v>0</v>
      </c>
      <c r="M143" s="44" t="n">
        <f aca="false">-G143</f>
        <v>-0</v>
      </c>
      <c r="N143" s="30" t="n">
        <f aca="false">IF(M143&gt;=0.005,0.9,IF(M143&lt;=Datos!$C$25/Datos!$C$28,0.65,0.65+(M143-Datos!$C$25/Datos!$C$28)*0.25/(0.005-Datos!$C$25/Datos!$C$28)))</f>
        <v>0.65</v>
      </c>
      <c r="O143" s="33" t="n">
        <f aca="false">MIN(N143*K143,$J$128)</f>
        <v>0</v>
      </c>
      <c r="P143" s="33" t="n">
        <f aca="false">N143*L143</f>
        <v>0</v>
      </c>
    </row>
    <row r="144" customFormat="false" ht="15" hidden="false" customHeight="false" outlineLevel="0" collapsed="false">
      <c r="B144" s="22" t="n">
        <v>0.3</v>
      </c>
      <c r="C144" s="14" t="n">
        <f aca="false">B144*$C$128</f>
        <v>0</v>
      </c>
      <c r="D144" s="14" t="n">
        <f aca="false">MIN(Datos!$C$16*C144,$C$128)</f>
        <v>0</v>
      </c>
      <c r="E144" s="44" t="n">
        <f aca="false">IF(C144=0,0,0.003*(C144-$D$128)/C144)</f>
        <v>0</v>
      </c>
      <c r="F144" s="44" t="n">
        <f aca="false">IF(C144=0,0,0.003*(C144-$C$128/2)/C144)</f>
        <v>0</v>
      </c>
      <c r="G144" s="44" t="n">
        <f aca="false">IF(C144=0,0,0.003*(C144-$E$128)/C144)</f>
        <v>0</v>
      </c>
      <c r="H144" s="14" t="n">
        <f aca="false">MAX(-Datos!$C$25,MIN(Datos!$C$25,Datos!$C$28*E144))</f>
        <v>0</v>
      </c>
      <c r="I144" s="14" t="n">
        <f aca="false">MAX(-Datos!$C$25,MIN(Datos!$C$25,Datos!$C$28*F144))</f>
        <v>0</v>
      </c>
      <c r="J144" s="14" t="n">
        <f aca="false">MAX(-Datos!$C$25,MIN(Datos!$C$25,Datos!$C$28*G144))</f>
        <v>0</v>
      </c>
      <c r="K144" s="33" t="n">
        <f aca="false">(0.85*Datos!$C$14*$B$128*D144+$F$128*(H144-IF($D$128&lt;D144,0.85*Datos!$C$14,0))+$H$128*(I144-IF($C$128/2&lt;D144,0.85*Datos!$C$14,0))+$G$128*(J144-IF($E$128&lt;D144,0.85*Datos!$C$14,0)))/1000</f>
        <v>0</v>
      </c>
      <c r="L144" s="33" t="n">
        <f aca="false">(0.85*Datos!$C$14*$B$128*D144*($C$128/2-D144/2)+$F$128*(H144-IF($D$128&lt;D144,0.85*Datos!$C$14,0))*($C$128/2-$D$128)+$G$128*(J144-IF($E$128&lt;D144,0.85*Datos!$C$14,0))*($C$128/2-$E$128))/10^6</f>
        <v>0</v>
      </c>
      <c r="M144" s="44" t="n">
        <f aca="false">-G144</f>
        <v>-0</v>
      </c>
      <c r="N144" s="30" t="n">
        <f aca="false">IF(M144&gt;=0.005,0.9,IF(M144&lt;=Datos!$C$25/Datos!$C$28,0.65,0.65+(M144-Datos!$C$25/Datos!$C$28)*0.25/(0.005-Datos!$C$25/Datos!$C$28)))</f>
        <v>0.65</v>
      </c>
      <c r="O144" s="33" t="n">
        <f aca="false">MIN(N144*K144,$J$128)</f>
        <v>0</v>
      </c>
      <c r="P144" s="33" t="n">
        <f aca="false">N144*L144</f>
        <v>0</v>
      </c>
    </row>
    <row r="145" customFormat="false" ht="15" hidden="false" customHeight="false" outlineLevel="0" collapsed="false">
      <c r="B145" s="22" t="n">
        <v>0.25</v>
      </c>
      <c r="C145" s="14" t="n">
        <f aca="false">B145*$C$128</f>
        <v>0</v>
      </c>
      <c r="D145" s="14" t="n">
        <f aca="false">MIN(Datos!$C$16*C145,$C$128)</f>
        <v>0</v>
      </c>
      <c r="E145" s="44" t="n">
        <f aca="false">IF(C145=0,0,0.003*(C145-$D$128)/C145)</f>
        <v>0</v>
      </c>
      <c r="F145" s="44" t="n">
        <f aca="false">IF(C145=0,0,0.003*(C145-$C$128/2)/C145)</f>
        <v>0</v>
      </c>
      <c r="G145" s="44" t="n">
        <f aca="false">IF(C145=0,0,0.003*(C145-$E$128)/C145)</f>
        <v>0</v>
      </c>
      <c r="H145" s="14" t="n">
        <f aca="false">MAX(-Datos!$C$25,MIN(Datos!$C$25,Datos!$C$28*E145))</f>
        <v>0</v>
      </c>
      <c r="I145" s="14" t="n">
        <f aca="false">MAX(-Datos!$C$25,MIN(Datos!$C$25,Datos!$C$28*F145))</f>
        <v>0</v>
      </c>
      <c r="J145" s="14" t="n">
        <f aca="false">MAX(-Datos!$C$25,MIN(Datos!$C$25,Datos!$C$28*G145))</f>
        <v>0</v>
      </c>
      <c r="K145" s="33" t="n">
        <f aca="false">(0.85*Datos!$C$14*$B$128*D145+$F$128*(H145-IF($D$128&lt;D145,0.85*Datos!$C$14,0))+$H$128*(I145-IF($C$128/2&lt;D145,0.85*Datos!$C$14,0))+$G$128*(J145-IF($E$128&lt;D145,0.85*Datos!$C$14,0)))/1000</f>
        <v>0</v>
      </c>
      <c r="L145" s="33" t="n">
        <f aca="false">(0.85*Datos!$C$14*$B$128*D145*($C$128/2-D145/2)+$F$128*(H145-IF($D$128&lt;D145,0.85*Datos!$C$14,0))*($C$128/2-$D$128)+$G$128*(J145-IF($E$128&lt;D145,0.85*Datos!$C$14,0))*($C$128/2-$E$128))/10^6</f>
        <v>0</v>
      </c>
      <c r="M145" s="44" t="n">
        <f aca="false">-G145</f>
        <v>-0</v>
      </c>
      <c r="N145" s="30" t="n">
        <f aca="false">IF(M145&gt;=0.005,0.9,IF(M145&lt;=Datos!$C$25/Datos!$C$28,0.65,0.65+(M145-Datos!$C$25/Datos!$C$28)*0.25/(0.005-Datos!$C$25/Datos!$C$28)))</f>
        <v>0.65</v>
      </c>
      <c r="O145" s="33" t="n">
        <f aca="false">MIN(N145*K145,$J$128)</f>
        <v>0</v>
      </c>
      <c r="P145" s="33" t="n">
        <f aca="false">N145*L145</f>
        <v>0</v>
      </c>
    </row>
    <row r="146" customFormat="false" ht="15" hidden="false" customHeight="false" outlineLevel="0" collapsed="false">
      <c r="B146" s="22" t="n">
        <v>0.2</v>
      </c>
      <c r="C146" s="14" t="n">
        <f aca="false">B146*$C$128</f>
        <v>0</v>
      </c>
      <c r="D146" s="14" t="n">
        <f aca="false">MIN(Datos!$C$16*C146,$C$128)</f>
        <v>0</v>
      </c>
      <c r="E146" s="44" t="n">
        <f aca="false">IF(C146=0,0,0.003*(C146-$D$128)/C146)</f>
        <v>0</v>
      </c>
      <c r="F146" s="44" t="n">
        <f aca="false">IF(C146=0,0,0.003*(C146-$C$128/2)/C146)</f>
        <v>0</v>
      </c>
      <c r="G146" s="44" t="n">
        <f aca="false">IF(C146=0,0,0.003*(C146-$E$128)/C146)</f>
        <v>0</v>
      </c>
      <c r="H146" s="14" t="n">
        <f aca="false">MAX(-Datos!$C$25,MIN(Datos!$C$25,Datos!$C$28*E146))</f>
        <v>0</v>
      </c>
      <c r="I146" s="14" t="n">
        <f aca="false">MAX(-Datos!$C$25,MIN(Datos!$C$25,Datos!$C$28*F146))</f>
        <v>0</v>
      </c>
      <c r="J146" s="14" t="n">
        <f aca="false">MAX(-Datos!$C$25,MIN(Datos!$C$25,Datos!$C$28*G146))</f>
        <v>0</v>
      </c>
      <c r="K146" s="33" t="n">
        <f aca="false">(0.85*Datos!$C$14*$B$128*D146+$F$128*(H146-IF($D$128&lt;D146,0.85*Datos!$C$14,0))+$H$128*(I146-IF($C$128/2&lt;D146,0.85*Datos!$C$14,0))+$G$128*(J146-IF($E$128&lt;D146,0.85*Datos!$C$14,0)))/1000</f>
        <v>0</v>
      </c>
      <c r="L146" s="33" t="n">
        <f aca="false">(0.85*Datos!$C$14*$B$128*D146*($C$128/2-D146/2)+$F$128*(H146-IF($D$128&lt;D146,0.85*Datos!$C$14,0))*($C$128/2-$D$128)+$G$128*(J146-IF($E$128&lt;D146,0.85*Datos!$C$14,0))*($C$128/2-$E$128))/10^6</f>
        <v>0</v>
      </c>
      <c r="M146" s="44" t="n">
        <f aca="false">-G146</f>
        <v>-0</v>
      </c>
      <c r="N146" s="30" t="n">
        <f aca="false">IF(M146&gt;=0.005,0.9,IF(M146&lt;=Datos!$C$25/Datos!$C$28,0.65,0.65+(M146-Datos!$C$25/Datos!$C$28)*0.25/(0.005-Datos!$C$25/Datos!$C$28)))</f>
        <v>0.65</v>
      </c>
      <c r="O146" s="33" t="n">
        <f aca="false">MIN(N146*K146,$J$128)</f>
        <v>0</v>
      </c>
      <c r="P146" s="33" t="n">
        <f aca="false">N146*L146</f>
        <v>0</v>
      </c>
    </row>
    <row r="147" customFormat="false" ht="15" hidden="false" customHeight="false" outlineLevel="0" collapsed="false">
      <c r="B147" s="22" t="n">
        <v>0.15</v>
      </c>
      <c r="C147" s="14" t="n">
        <f aca="false">B147*$C$128</f>
        <v>0</v>
      </c>
      <c r="D147" s="14" t="n">
        <f aca="false">MIN(Datos!$C$16*C147,$C$128)</f>
        <v>0</v>
      </c>
      <c r="E147" s="44" t="n">
        <f aca="false">IF(C147=0,0,0.003*(C147-$D$128)/C147)</f>
        <v>0</v>
      </c>
      <c r="F147" s="44" t="n">
        <f aca="false">IF(C147=0,0,0.003*(C147-$C$128/2)/C147)</f>
        <v>0</v>
      </c>
      <c r="G147" s="44" t="n">
        <f aca="false">IF(C147=0,0,0.003*(C147-$E$128)/C147)</f>
        <v>0</v>
      </c>
      <c r="H147" s="14" t="n">
        <f aca="false">MAX(-Datos!$C$25,MIN(Datos!$C$25,Datos!$C$28*E147))</f>
        <v>0</v>
      </c>
      <c r="I147" s="14" t="n">
        <f aca="false">MAX(-Datos!$C$25,MIN(Datos!$C$25,Datos!$C$28*F147))</f>
        <v>0</v>
      </c>
      <c r="J147" s="14" t="n">
        <f aca="false">MAX(-Datos!$C$25,MIN(Datos!$C$25,Datos!$C$28*G147))</f>
        <v>0</v>
      </c>
      <c r="K147" s="33" t="n">
        <f aca="false">(0.85*Datos!$C$14*$B$128*D147+$F$128*(H147-IF($D$128&lt;D147,0.85*Datos!$C$14,0))+$H$128*(I147-IF($C$128/2&lt;D147,0.85*Datos!$C$14,0))+$G$128*(J147-IF($E$128&lt;D147,0.85*Datos!$C$14,0)))/1000</f>
        <v>0</v>
      </c>
      <c r="L147" s="33" t="n">
        <f aca="false">(0.85*Datos!$C$14*$B$128*D147*($C$128/2-D147/2)+$F$128*(H147-IF($D$128&lt;D147,0.85*Datos!$C$14,0))*($C$128/2-$D$128)+$G$128*(J147-IF($E$128&lt;D147,0.85*Datos!$C$14,0))*($C$128/2-$E$128))/10^6</f>
        <v>0</v>
      </c>
      <c r="M147" s="44" t="n">
        <f aca="false">-G147</f>
        <v>-0</v>
      </c>
      <c r="N147" s="30" t="n">
        <f aca="false">IF(M147&gt;=0.005,0.9,IF(M147&lt;=Datos!$C$25/Datos!$C$28,0.65,0.65+(M147-Datos!$C$25/Datos!$C$28)*0.25/(0.005-Datos!$C$25/Datos!$C$28)))</f>
        <v>0.65</v>
      </c>
      <c r="O147" s="33" t="n">
        <f aca="false">MIN(N147*K147,$J$128)</f>
        <v>0</v>
      </c>
      <c r="P147" s="33" t="n">
        <f aca="false">N147*L147</f>
        <v>0</v>
      </c>
    </row>
    <row r="148" customFormat="false" ht="15" hidden="false" customHeight="false" outlineLevel="0" collapsed="false">
      <c r="B148" s="22" t="n">
        <v>0.1</v>
      </c>
      <c r="C148" s="14" t="n">
        <f aca="false">B148*$C$128</f>
        <v>0</v>
      </c>
      <c r="D148" s="14" t="n">
        <f aca="false">MIN(Datos!$C$16*C148,$C$128)</f>
        <v>0</v>
      </c>
      <c r="E148" s="44" t="n">
        <f aca="false">IF(C148=0,0,0.003*(C148-$D$128)/C148)</f>
        <v>0</v>
      </c>
      <c r="F148" s="44" t="n">
        <f aca="false">IF(C148=0,0,0.003*(C148-$C$128/2)/C148)</f>
        <v>0</v>
      </c>
      <c r="G148" s="44" t="n">
        <f aca="false">IF(C148=0,0,0.003*(C148-$E$128)/C148)</f>
        <v>0</v>
      </c>
      <c r="H148" s="14" t="n">
        <f aca="false">MAX(-Datos!$C$25,MIN(Datos!$C$25,Datos!$C$28*E148))</f>
        <v>0</v>
      </c>
      <c r="I148" s="14" t="n">
        <f aca="false">MAX(-Datos!$C$25,MIN(Datos!$C$25,Datos!$C$28*F148))</f>
        <v>0</v>
      </c>
      <c r="J148" s="14" t="n">
        <f aca="false">MAX(-Datos!$C$25,MIN(Datos!$C$25,Datos!$C$28*G148))</f>
        <v>0</v>
      </c>
      <c r="K148" s="33" t="n">
        <f aca="false">(0.85*Datos!$C$14*$B$128*D148+$F$128*(H148-IF($D$128&lt;D148,0.85*Datos!$C$14,0))+$H$128*(I148-IF($C$128/2&lt;D148,0.85*Datos!$C$14,0))+$G$128*(J148-IF($E$128&lt;D148,0.85*Datos!$C$14,0)))/1000</f>
        <v>0</v>
      </c>
      <c r="L148" s="33" t="n">
        <f aca="false">(0.85*Datos!$C$14*$B$128*D148*($C$128/2-D148/2)+$F$128*(H148-IF($D$128&lt;D148,0.85*Datos!$C$14,0))*($C$128/2-$D$128)+$G$128*(J148-IF($E$128&lt;D148,0.85*Datos!$C$14,0))*($C$128/2-$E$128))/10^6</f>
        <v>0</v>
      </c>
      <c r="M148" s="44" t="n">
        <f aca="false">-G148</f>
        <v>-0</v>
      </c>
      <c r="N148" s="30" t="n">
        <f aca="false">IF(M148&gt;=0.005,0.9,IF(M148&lt;=Datos!$C$25/Datos!$C$28,0.65,0.65+(M148-Datos!$C$25/Datos!$C$28)*0.25/(0.005-Datos!$C$25/Datos!$C$28)))</f>
        <v>0.65</v>
      </c>
      <c r="O148" s="33" t="n">
        <f aca="false">MIN(N148*K148,$J$128)</f>
        <v>0</v>
      </c>
      <c r="P148" s="33" t="n">
        <f aca="false">N148*L148</f>
        <v>0</v>
      </c>
    </row>
    <row r="149" customFormat="false" ht="15" hidden="false" customHeight="false" outlineLevel="0" collapsed="false">
      <c r="B149" s="22" t="n">
        <v>0.05</v>
      </c>
      <c r="C149" s="14" t="n">
        <f aca="false">B149*$C$128</f>
        <v>0</v>
      </c>
      <c r="D149" s="14" t="n">
        <f aca="false">MIN(Datos!$C$16*C149,$C$128)</f>
        <v>0</v>
      </c>
      <c r="E149" s="44" t="n">
        <f aca="false">IF(C149=0,0,0.003*(C149-$D$128)/C149)</f>
        <v>0</v>
      </c>
      <c r="F149" s="44" t="n">
        <f aca="false">IF(C149=0,0,0.003*(C149-$C$128/2)/C149)</f>
        <v>0</v>
      </c>
      <c r="G149" s="44" t="n">
        <f aca="false">IF(C149=0,0,0.003*(C149-$E$128)/C149)</f>
        <v>0</v>
      </c>
      <c r="H149" s="14" t="n">
        <f aca="false">MAX(-Datos!$C$25,MIN(Datos!$C$25,Datos!$C$28*E149))</f>
        <v>0</v>
      </c>
      <c r="I149" s="14" t="n">
        <f aca="false">MAX(-Datos!$C$25,MIN(Datos!$C$25,Datos!$C$28*F149))</f>
        <v>0</v>
      </c>
      <c r="J149" s="14" t="n">
        <f aca="false">MAX(-Datos!$C$25,MIN(Datos!$C$25,Datos!$C$28*G149))</f>
        <v>0</v>
      </c>
      <c r="K149" s="33" t="n">
        <f aca="false">(0.85*Datos!$C$14*$B$128*D149+$F$128*(H149-IF($D$128&lt;D149,0.85*Datos!$C$14,0))+$H$128*(I149-IF($C$128/2&lt;D149,0.85*Datos!$C$14,0))+$G$128*(J149-IF($E$128&lt;D149,0.85*Datos!$C$14,0)))/1000</f>
        <v>0</v>
      </c>
      <c r="L149" s="33" t="n">
        <f aca="false">(0.85*Datos!$C$14*$B$128*D149*($C$128/2-D149/2)+$F$128*(H149-IF($D$128&lt;D149,0.85*Datos!$C$14,0))*($C$128/2-$D$128)+$G$128*(J149-IF($E$128&lt;D149,0.85*Datos!$C$14,0))*($C$128/2-$E$128))/10^6</f>
        <v>0</v>
      </c>
      <c r="M149" s="44" t="n">
        <f aca="false">-G149</f>
        <v>-0</v>
      </c>
      <c r="N149" s="30" t="n">
        <f aca="false">IF(M149&gt;=0.005,0.9,IF(M149&lt;=Datos!$C$25/Datos!$C$28,0.65,0.65+(M149-Datos!$C$25/Datos!$C$28)*0.25/(0.005-Datos!$C$25/Datos!$C$28)))</f>
        <v>0.65</v>
      </c>
      <c r="O149" s="33" t="n">
        <f aca="false">MIN(N149*K149,$J$128)</f>
        <v>0</v>
      </c>
      <c r="P149" s="33" t="n">
        <f aca="false">N149*L149</f>
        <v>0</v>
      </c>
    </row>
    <row r="150" customFormat="false" ht="15" hidden="false" customHeight="false" outlineLevel="0" collapsed="false">
      <c r="B150" s="22" t="n">
        <v>0.02</v>
      </c>
      <c r="C150" s="14" t="n">
        <f aca="false">B150*$C$128</f>
        <v>0</v>
      </c>
      <c r="D150" s="14" t="n">
        <f aca="false">MIN(Datos!$C$16*C150,$C$128)</f>
        <v>0</v>
      </c>
      <c r="E150" s="44" t="n">
        <f aca="false">IF(C150=0,0,0.003*(C150-$D$128)/C150)</f>
        <v>0</v>
      </c>
      <c r="F150" s="44" t="n">
        <f aca="false">IF(C150=0,0,0.003*(C150-$C$128/2)/C150)</f>
        <v>0</v>
      </c>
      <c r="G150" s="44" t="n">
        <f aca="false">IF(C150=0,0,0.003*(C150-$E$128)/C150)</f>
        <v>0</v>
      </c>
      <c r="H150" s="14" t="n">
        <f aca="false">MAX(-Datos!$C$25,MIN(Datos!$C$25,Datos!$C$28*E150))</f>
        <v>0</v>
      </c>
      <c r="I150" s="14" t="n">
        <f aca="false">MAX(-Datos!$C$25,MIN(Datos!$C$25,Datos!$C$28*F150))</f>
        <v>0</v>
      </c>
      <c r="J150" s="14" t="n">
        <f aca="false">MAX(-Datos!$C$25,MIN(Datos!$C$25,Datos!$C$28*G150))</f>
        <v>0</v>
      </c>
      <c r="K150" s="33" t="n">
        <f aca="false">(0.85*Datos!$C$14*$B$128*D150+$F$128*(H150-IF($D$128&lt;D150,0.85*Datos!$C$14,0))+$H$128*(I150-IF($C$128/2&lt;D150,0.85*Datos!$C$14,0))+$G$128*(J150-IF($E$128&lt;D150,0.85*Datos!$C$14,0)))/1000</f>
        <v>0</v>
      </c>
      <c r="L150" s="33" t="n">
        <f aca="false">(0.85*Datos!$C$14*$B$128*D150*($C$128/2-D150/2)+$F$128*(H150-IF($D$128&lt;D150,0.85*Datos!$C$14,0))*($C$128/2-$D$128)+$G$128*(J150-IF($E$128&lt;D150,0.85*Datos!$C$14,0))*($C$128/2-$E$128))/10^6</f>
        <v>0</v>
      </c>
      <c r="M150" s="44" t="n">
        <f aca="false">-G150</f>
        <v>-0</v>
      </c>
      <c r="N150" s="30" t="n">
        <f aca="false">IF(M150&gt;=0.005,0.9,IF(M150&lt;=Datos!$C$25/Datos!$C$28,0.65,0.65+(M150-Datos!$C$25/Datos!$C$28)*0.25/(0.005-Datos!$C$25/Datos!$C$28)))</f>
        <v>0.65</v>
      </c>
      <c r="O150" s="33" t="n">
        <f aca="false">MIN(N150*K150,$J$128)</f>
        <v>0</v>
      </c>
      <c r="P150" s="33" t="n">
        <f aca="false">N150*L150</f>
        <v>0</v>
      </c>
    </row>
    <row r="152" customFormat="false" ht="15" hidden="false" customHeight="false" outlineLevel="0" collapsed="false">
      <c r="B152" s="45" t="s">
        <v>424</v>
      </c>
      <c r="P152" s="39" t="n">
        <f aca="false">IF(Columnas!$H$20="",0,IF(Columnas!$K$10&gt;$J$128,0,IF(Columnas!$K$10&lt;=$O$150,$P$150,IF(INDEX($O$130:$O$150,SUMPRODUCT(--($O$130:$O$150&gt;=Columnas!$K$10)))=INDEX($O$130:$O$150,SUMPRODUCT(--($O$130:$O$150&gt;=Columnas!$K$10))+1),INDEX($P$130:$P$150,SUMPRODUCT(--($O$130:$O$150&gt;=Columnas!$K$10))),INDEX($P$130:$P$150,SUMPRODUCT(--($O$130:$O$150&gt;=Columnas!$K$10)))+(INDEX($P$130:$P$150,SUMPRODUCT(--($O$130:$O$150&gt;=Columnas!$K$10))+1)-INDEX($P$130:$P$150,SUMPRODUCT(--($O$130:$O$150&gt;=Columnas!$K$10))))*(INDEX($O$130:$O$150,SUMPRODUCT(--($O$130:$O$150&gt;=Columnas!$K$10)))-Columnas!$K$10)/(INDEX($O$130:$O$150,SUMPRODUCT(--($O$130:$O$150&gt;=Columnas!$K$10)))-INDEX($O$130:$O$150,SUMPRODUCT(--($O$130:$O$150&gt;=Columnas!$K$10))+1))))))</f>
        <v>0</v>
      </c>
    </row>
    <row r="153" customFormat="false" ht="15" hidden="false" customHeight="false" outlineLevel="0" collapsed="false">
      <c r="B153" s="45" t="s">
        <v>425</v>
      </c>
      <c r="O153" s="33" t="n">
        <f aca="false">Columnas!$L$10</f>
        <v>0</v>
      </c>
      <c r="P153" s="33" t="str">
        <f aca="false">Columnas!$K$10</f>
        <v/>
      </c>
    </row>
    <row r="156" customFormat="false" ht="15" hidden="false" customHeight="false" outlineLevel="0" collapsed="false">
      <c r="B156" s="42" t="str">
        <f aca="false">IF(Columnas!B11="","(columna sin cargar)","Columna "&amp;Columnas!B11&amp;"  –  "&amp;Columnas!C11&amp;" × "&amp;Columnas!D11&amp;" cm")</f>
        <v>(columna sin cargar)</v>
      </c>
      <c r="C156" s="42"/>
      <c r="D156" s="42"/>
      <c r="E156" s="42"/>
      <c r="F156" s="42"/>
      <c r="G156" s="42"/>
      <c r="H156" s="42"/>
      <c r="I156" s="42"/>
      <c r="J156" s="42"/>
      <c r="K156" s="42"/>
      <c r="L156" s="42"/>
      <c r="M156" s="42"/>
      <c r="N156" s="42"/>
      <c r="O156" s="42"/>
      <c r="P156" s="42"/>
    </row>
    <row r="157" customFormat="false" ht="27.75" hidden="false" customHeight="true" outlineLevel="0" collapsed="false">
      <c r="B157" s="11" t="s">
        <v>401</v>
      </c>
      <c r="C157" s="11" t="s">
        <v>402</v>
      </c>
      <c r="D157" s="11" t="s">
        <v>403</v>
      </c>
      <c r="E157" s="11" t="s">
        <v>404</v>
      </c>
      <c r="F157" s="11" t="s">
        <v>405</v>
      </c>
      <c r="G157" s="11" t="s">
        <v>406</v>
      </c>
      <c r="H157" s="11" t="s">
        <v>407</v>
      </c>
      <c r="I157" s="11" t="s">
        <v>408</v>
      </c>
      <c r="J157" s="11" t="s">
        <v>389</v>
      </c>
      <c r="K157" s="43" t="s">
        <v>409</v>
      </c>
    </row>
    <row r="158" customFormat="false" ht="15" hidden="false" customHeight="false" outlineLevel="0" collapsed="false">
      <c r="B158" s="33" t="n">
        <f aca="false">IF(Columnas!$H$21="",0,Columnas!$C$11*10)</f>
        <v>0</v>
      </c>
      <c r="C158" s="33" t="n">
        <f aca="false">IF(Columnas!$H$21="",0,Columnas!$D$11*10)</f>
        <v>0</v>
      </c>
      <c r="D158" s="33" t="n">
        <f aca="false">IF(Columnas!$H$21="",0,Columnas!$J$21*10)</f>
        <v>0</v>
      </c>
      <c r="E158" s="33" t="n">
        <f aca="false">C158-D158</f>
        <v>0</v>
      </c>
      <c r="F158" s="33" t="n">
        <f aca="false">IF(Columnas!$H$21="",0,Columnas!$D$21*(PI()*Columnas!$E$21^2/4))</f>
        <v>0</v>
      </c>
      <c r="G158" s="33" t="n">
        <f aca="false">F158</f>
        <v>0</v>
      </c>
      <c r="H158" s="33" t="n">
        <f aca="false">IF(Columnas!$H$21="",0,(Columnas!$C$21-2*Columnas!$D$21)*(PI()*Columnas!$E$21^2/4))</f>
        <v>0</v>
      </c>
      <c r="I158" s="33" t="n">
        <f aca="false">(0.85*Datos!$C$14*(B158*C158-(F158+G158+H158))+Datos!$C$25*(F158+G158+H158))/1000</f>
        <v>0</v>
      </c>
      <c r="J158" s="33" t="n">
        <f aca="false">0.8*0.65*I158</f>
        <v>0</v>
      </c>
      <c r="K158" s="33" t="n">
        <f aca="false">J158</f>
        <v>0</v>
      </c>
    </row>
    <row r="159" customFormat="false" ht="27.75" hidden="false" customHeight="true" outlineLevel="0" collapsed="false">
      <c r="B159" s="11" t="s">
        <v>410</v>
      </c>
      <c r="C159" s="11" t="s">
        <v>411</v>
      </c>
      <c r="D159" s="11" t="s">
        <v>412</v>
      </c>
      <c r="E159" s="11" t="s">
        <v>413</v>
      </c>
      <c r="F159" s="11" t="s">
        <v>414</v>
      </c>
      <c r="G159" s="11" t="s">
        <v>415</v>
      </c>
      <c r="H159" s="11" t="s">
        <v>416</v>
      </c>
      <c r="I159" s="11" t="s">
        <v>417</v>
      </c>
      <c r="J159" s="11" t="s">
        <v>418</v>
      </c>
      <c r="K159" s="11" t="s">
        <v>419</v>
      </c>
      <c r="L159" s="11" t="s">
        <v>420</v>
      </c>
      <c r="M159" s="11" t="s">
        <v>421</v>
      </c>
      <c r="N159" s="11" t="s">
        <v>422</v>
      </c>
      <c r="O159" s="11" t="s">
        <v>423</v>
      </c>
      <c r="P159" s="11" t="s">
        <v>347</v>
      </c>
    </row>
    <row r="160" customFormat="false" ht="15" hidden="false" customHeight="false" outlineLevel="0" collapsed="false">
      <c r="B160" s="22" t="n">
        <v>100</v>
      </c>
      <c r="C160" s="14" t="n">
        <f aca="false">B160*$C$158</f>
        <v>0</v>
      </c>
      <c r="D160" s="14" t="n">
        <f aca="false">MIN(Datos!$C$16*C160,$C$158)</f>
        <v>0</v>
      </c>
      <c r="E160" s="44" t="n">
        <f aca="false">IF(C160=0,0,0.003*(C160-$D$158)/C160)</f>
        <v>0</v>
      </c>
      <c r="F160" s="44" t="n">
        <f aca="false">IF(C160=0,0,0.003*(C160-$C$158/2)/C160)</f>
        <v>0</v>
      </c>
      <c r="G160" s="44" t="n">
        <f aca="false">IF(C160=0,0,0.003*(C160-$E$158)/C160)</f>
        <v>0</v>
      </c>
      <c r="H160" s="14" t="n">
        <f aca="false">MAX(-Datos!$C$25,MIN(Datos!$C$25,Datos!$C$28*E160))</f>
        <v>0</v>
      </c>
      <c r="I160" s="14" t="n">
        <f aca="false">MAX(-Datos!$C$25,MIN(Datos!$C$25,Datos!$C$28*F160))</f>
        <v>0</v>
      </c>
      <c r="J160" s="14" t="n">
        <f aca="false">MAX(-Datos!$C$25,MIN(Datos!$C$25,Datos!$C$28*G160))</f>
        <v>0</v>
      </c>
      <c r="K160" s="33" t="n">
        <f aca="false">(0.85*Datos!$C$14*$B$158*D160+$F$158*(H160-IF($D$158&lt;D160,0.85*Datos!$C$14,0))+$H$158*(I160-IF($C$158/2&lt;D160,0.85*Datos!$C$14,0))+$G$158*(J160-IF($E$158&lt;D160,0.85*Datos!$C$14,0)))/1000</f>
        <v>0</v>
      </c>
      <c r="L160" s="33" t="n">
        <f aca="false">(0.85*Datos!$C$14*$B$158*D160*($C$158/2-D160/2)+$F$158*(H160-IF($D$158&lt;D160,0.85*Datos!$C$14,0))*($C$158/2-$D$158)+$G$158*(J160-IF($E$158&lt;D160,0.85*Datos!$C$14,0))*($C$158/2-$E$158))/10^6</f>
        <v>0</v>
      </c>
      <c r="M160" s="44" t="n">
        <f aca="false">-G160</f>
        <v>-0</v>
      </c>
      <c r="N160" s="30" t="n">
        <f aca="false">IF(M160&gt;=0.005,0.9,IF(M160&lt;=Datos!$C$25/Datos!$C$28,0.65,0.65+(M160-Datos!$C$25/Datos!$C$28)*0.25/(0.005-Datos!$C$25/Datos!$C$28)))</f>
        <v>0.65</v>
      </c>
      <c r="O160" s="33" t="n">
        <f aca="false">MIN(N160*K160,$J$158)</f>
        <v>0</v>
      </c>
      <c r="P160" s="33" t="n">
        <f aca="false">N160*L160</f>
        <v>0</v>
      </c>
    </row>
    <row r="161" customFormat="false" ht="15" hidden="false" customHeight="false" outlineLevel="0" collapsed="false">
      <c r="B161" s="22" t="n">
        <v>3</v>
      </c>
      <c r="C161" s="14" t="n">
        <f aca="false">B161*$C$158</f>
        <v>0</v>
      </c>
      <c r="D161" s="14" t="n">
        <f aca="false">MIN(Datos!$C$16*C161,$C$158)</f>
        <v>0</v>
      </c>
      <c r="E161" s="44" t="n">
        <f aca="false">IF(C161=0,0,0.003*(C161-$D$158)/C161)</f>
        <v>0</v>
      </c>
      <c r="F161" s="44" t="n">
        <f aca="false">IF(C161=0,0,0.003*(C161-$C$158/2)/C161)</f>
        <v>0</v>
      </c>
      <c r="G161" s="44" t="n">
        <f aca="false">IF(C161=0,0,0.003*(C161-$E$158)/C161)</f>
        <v>0</v>
      </c>
      <c r="H161" s="14" t="n">
        <f aca="false">MAX(-Datos!$C$25,MIN(Datos!$C$25,Datos!$C$28*E161))</f>
        <v>0</v>
      </c>
      <c r="I161" s="14" t="n">
        <f aca="false">MAX(-Datos!$C$25,MIN(Datos!$C$25,Datos!$C$28*F161))</f>
        <v>0</v>
      </c>
      <c r="J161" s="14" t="n">
        <f aca="false">MAX(-Datos!$C$25,MIN(Datos!$C$25,Datos!$C$28*G161))</f>
        <v>0</v>
      </c>
      <c r="K161" s="33" t="n">
        <f aca="false">(0.85*Datos!$C$14*$B$158*D161+$F$158*(H161-IF($D$158&lt;D161,0.85*Datos!$C$14,0))+$H$158*(I161-IF($C$158/2&lt;D161,0.85*Datos!$C$14,0))+$G$158*(J161-IF($E$158&lt;D161,0.85*Datos!$C$14,0)))/1000</f>
        <v>0</v>
      </c>
      <c r="L161" s="33" t="n">
        <f aca="false">(0.85*Datos!$C$14*$B$158*D161*($C$158/2-D161/2)+$F$158*(H161-IF($D$158&lt;D161,0.85*Datos!$C$14,0))*($C$158/2-$D$158)+$G$158*(J161-IF($E$158&lt;D161,0.85*Datos!$C$14,0))*($C$158/2-$E$158))/10^6</f>
        <v>0</v>
      </c>
      <c r="M161" s="44" t="n">
        <f aca="false">-G161</f>
        <v>-0</v>
      </c>
      <c r="N161" s="30" t="n">
        <f aca="false">IF(M161&gt;=0.005,0.9,IF(M161&lt;=Datos!$C$25/Datos!$C$28,0.65,0.65+(M161-Datos!$C$25/Datos!$C$28)*0.25/(0.005-Datos!$C$25/Datos!$C$28)))</f>
        <v>0.65</v>
      </c>
      <c r="O161" s="33" t="n">
        <f aca="false">MIN(N161*K161,$J$158)</f>
        <v>0</v>
      </c>
      <c r="P161" s="33" t="n">
        <f aca="false">N161*L161</f>
        <v>0</v>
      </c>
    </row>
    <row r="162" customFormat="false" ht="15" hidden="false" customHeight="false" outlineLevel="0" collapsed="false">
      <c r="B162" s="22" t="n">
        <v>2</v>
      </c>
      <c r="C162" s="14" t="n">
        <f aca="false">B162*$C$158</f>
        <v>0</v>
      </c>
      <c r="D162" s="14" t="n">
        <f aca="false">MIN(Datos!$C$16*C162,$C$158)</f>
        <v>0</v>
      </c>
      <c r="E162" s="44" t="n">
        <f aca="false">IF(C162=0,0,0.003*(C162-$D$158)/C162)</f>
        <v>0</v>
      </c>
      <c r="F162" s="44" t="n">
        <f aca="false">IF(C162=0,0,0.003*(C162-$C$158/2)/C162)</f>
        <v>0</v>
      </c>
      <c r="G162" s="44" t="n">
        <f aca="false">IF(C162=0,0,0.003*(C162-$E$158)/C162)</f>
        <v>0</v>
      </c>
      <c r="H162" s="14" t="n">
        <f aca="false">MAX(-Datos!$C$25,MIN(Datos!$C$25,Datos!$C$28*E162))</f>
        <v>0</v>
      </c>
      <c r="I162" s="14" t="n">
        <f aca="false">MAX(-Datos!$C$25,MIN(Datos!$C$25,Datos!$C$28*F162))</f>
        <v>0</v>
      </c>
      <c r="J162" s="14" t="n">
        <f aca="false">MAX(-Datos!$C$25,MIN(Datos!$C$25,Datos!$C$28*G162))</f>
        <v>0</v>
      </c>
      <c r="K162" s="33" t="n">
        <f aca="false">(0.85*Datos!$C$14*$B$158*D162+$F$158*(H162-IF($D$158&lt;D162,0.85*Datos!$C$14,0))+$H$158*(I162-IF($C$158/2&lt;D162,0.85*Datos!$C$14,0))+$G$158*(J162-IF($E$158&lt;D162,0.85*Datos!$C$14,0)))/1000</f>
        <v>0</v>
      </c>
      <c r="L162" s="33" t="n">
        <f aca="false">(0.85*Datos!$C$14*$B$158*D162*($C$158/2-D162/2)+$F$158*(H162-IF($D$158&lt;D162,0.85*Datos!$C$14,0))*($C$158/2-$D$158)+$G$158*(J162-IF($E$158&lt;D162,0.85*Datos!$C$14,0))*($C$158/2-$E$158))/10^6</f>
        <v>0</v>
      </c>
      <c r="M162" s="44" t="n">
        <f aca="false">-G162</f>
        <v>-0</v>
      </c>
      <c r="N162" s="30" t="n">
        <f aca="false">IF(M162&gt;=0.005,0.9,IF(M162&lt;=Datos!$C$25/Datos!$C$28,0.65,0.65+(M162-Datos!$C$25/Datos!$C$28)*0.25/(0.005-Datos!$C$25/Datos!$C$28)))</f>
        <v>0.65</v>
      </c>
      <c r="O162" s="33" t="n">
        <f aca="false">MIN(N162*K162,$J$158)</f>
        <v>0</v>
      </c>
      <c r="P162" s="33" t="n">
        <f aca="false">N162*L162</f>
        <v>0</v>
      </c>
    </row>
    <row r="163" customFormat="false" ht="15" hidden="false" customHeight="false" outlineLevel="0" collapsed="false">
      <c r="B163" s="22" t="n">
        <v>1.5</v>
      </c>
      <c r="C163" s="14" t="n">
        <f aca="false">B163*$C$158</f>
        <v>0</v>
      </c>
      <c r="D163" s="14" t="n">
        <f aca="false">MIN(Datos!$C$16*C163,$C$158)</f>
        <v>0</v>
      </c>
      <c r="E163" s="44" t="n">
        <f aca="false">IF(C163=0,0,0.003*(C163-$D$158)/C163)</f>
        <v>0</v>
      </c>
      <c r="F163" s="44" t="n">
        <f aca="false">IF(C163=0,0,0.003*(C163-$C$158/2)/C163)</f>
        <v>0</v>
      </c>
      <c r="G163" s="44" t="n">
        <f aca="false">IF(C163=0,0,0.003*(C163-$E$158)/C163)</f>
        <v>0</v>
      </c>
      <c r="H163" s="14" t="n">
        <f aca="false">MAX(-Datos!$C$25,MIN(Datos!$C$25,Datos!$C$28*E163))</f>
        <v>0</v>
      </c>
      <c r="I163" s="14" t="n">
        <f aca="false">MAX(-Datos!$C$25,MIN(Datos!$C$25,Datos!$C$28*F163))</f>
        <v>0</v>
      </c>
      <c r="J163" s="14" t="n">
        <f aca="false">MAX(-Datos!$C$25,MIN(Datos!$C$25,Datos!$C$28*G163))</f>
        <v>0</v>
      </c>
      <c r="K163" s="33" t="n">
        <f aca="false">(0.85*Datos!$C$14*$B$158*D163+$F$158*(H163-IF($D$158&lt;D163,0.85*Datos!$C$14,0))+$H$158*(I163-IF($C$158/2&lt;D163,0.85*Datos!$C$14,0))+$G$158*(J163-IF($E$158&lt;D163,0.85*Datos!$C$14,0)))/1000</f>
        <v>0</v>
      </c>
      <c r="L163" s="33" t="n">
        <f aca="false">(0.85*Datos!$C$14*$B$158*D163*($C$158/2-D163/2)+$F$158*(H163-IF($D$158&lt;D163,0.85*Datos!$C$14,0))*($C$158/2-$D$158)+$G$158*(J163-IF($E$158&lt;D163,0.85*Datos!$C$14,0))*($C$158/2-$E$158))/10^6</f>
        <v>0</v>
      </c>
      <c r="M163" s="44" t="n">
        <f aca="false">-G163</f>
        <v>-0</v>
      </c>
      <c r="N163" s="30" t="n">
        <f aca="false">IF(M163&gt;=0.005,0.9,IF(M163&lt;=Datos!$C$25/Datos!$C$28,0.65,0.65+(M163-Datos!$C$25/Datos!$C$28)*0.25/(0.005-Datos!$C$25/Datos!$C$28)))</f>
        <v>0.65</v>
      </c>
      <c r="O163" s="33" t="n">
        <f aca="false">MIN(N163*K163,$J$158)</f>
        <v>0</v>
      </c>
      <c r="P163" s="33" t="n">
        <f aca="false">N163*L163</f>
        <v>0</v>
      </c>
    </row>
    <row r="164" customFormat="false" ht="15" hidden="false" customHeight="false" outlineLevel="0" collapsed="false">
      <c r="B164" s="22" t="n">
        <v>1.2</v>
      </c>
      <c r="C164" s="14" t="n">
        <f aca="false">B164*$C$158</f>
        <v>0</v>
      </c>
      <c r="D164" s="14" t="n">
        <f aca="false">MIN(Datos!$C$16*C164,$C$158)</f>
        <v>0</v>
      </c>
      <c r="E164" s="44" t="n">
        <f aca="false">IF(C164=0,0,0.003*(C164-$D$158)/C164)</f>
        <v>0</v>
      </c>
      <c r="F164" s="44" t="n">
        <f aca="false">IF(C164=0,0,0.003*(C164-$C$158/2)/C164)</f>
        <v>0</v>
      </c>
      <c r="G164" s="44" t="n">
        <f aca="false">IF(C164=0,0,0.003*(C164-$E$158)/C164)</f>
        <v>0</v>
      </c>
      <c r="H164" s="14" t="n">
        <f aca="false">MAX(-Datos!$C$25,MIN(Datos!$C$25,Datos!$C$28*E164))</f>
        <v>0</v>
      </c>
      <c r="I164" s="14" t="n">
        <f aca="false">MAX(-Datos!$C$25,MIN(Datos!$C$25,Datos!$C$28*F164))</f>
        <v>0</v>
      </c>
      <c r="J164" s="14" t="n">
        <f aca="false">MAX(-Datos!$C$25,MIN(Datos!$C$25,Datos!$C$28*G164))</f>
        <v>0</v>
      </c>
      <c r="K164" s="33" t="n">
        <f aca="false">(0.85*Datos!$C$14*$B$158*D164+$F$158*(H164-IF($D$158&lt;D164,0.85*Datos!$C$14,0))+$H$158*(I164-IF($C$158/2&lt;D164,0.85*Datos!$C$14,0))+$G$158*(J164-IF($E$158&lt;D164,0.85*Datos!$C$14,0)))/1000</f>
        <v>0</v>
      </c>
      <c r="L164" s="33" t="n">
        <f aca="false">(0.85*Datos!$C$14*$B$158*D164*($C$158/2-D164/2)+$F$158*(H164-IF($D$158&lt;D164,0.85*Datos!$C$14,0))*($C$158/2-$D$158)+$G$158*(J164-IF($E$158&lt;D164,0.85*Datos!$C$14,0))*($C$158/2-$E$158))/10^6</f>
        <v>0</v>
      </c>
      <c r="M164" s="44" t="n">
        <f aca="false">-G164</f>
        <v>-0</v>
      </c>
      <c r="N164" s="30" t="n">
        <f aca="false">IF(M164&gt;=0.005,0.9,IF(M164&lt;=Datos!$C$25/Datos!$C$28,0.65,0.65+(M164-Datos!$C$25/Datos!$C$28)*0.25/(0.005-Datos!$C$25/Datos!$C$28)))</f>
        <v>0.65</v>
      </c>
      <c r="O164" s="33" t="n">
        <f aca="false">MIN(N164*K164,$J$158)</f>
        <v>0</v>
      </c>
      <c r="P164" s="33" t="n">
        <f aca="false">N164*L164</f>
        <v>0</v>
      </c>
    </row>
    <row r="165" customFormat="false" ht="15" hidden="false" customHeight="false" outlineLevel="0" collapsed="false">
      <c r="B165" s="22" t="n">
        <v>1</v>
      </c>
      <c r="C165" s="14" t="n">
        <f aca="false">B165*$C$158</f>
        <v>0</v>
      </c>
      <c r="D165" s="14" t="n">
        <f aca="false">MIN(Datos!$C$16*C165,$C$158)</f>
        <v>0</v>
      </c>
      <c r="E165" s="44" t="n">
        <f aca="false">IF(C165=0,0,0.003*(C165-$D$158)/C165)</f>
        <v>0</v>
      </c>
      <c r="F165" s="44" t="n">
        <f aca="false">IF(C165=0,0,0.003*(C165-$C$158/2)/C165)</f>
        <v>0</v>
      </c>
      <c r="G165" s="44" t="n">
        <f aca="false">IF(C165=0,0,0.003*(C165-$E$158)/C165)</f>
        <v>0</v>
      </c>
      <c r="H165" s="14" t="n">
        <f aca="false">MAX(-Datos!$C$25,MIN(Datos!$C$25,Datos!$C$28*E165))</f>
        <v>0</v>
      </c>
      <c r="I165" s="14" t="n">
        <f aca="false">MAX(-Datos!$C$25,MIN(Datos!$C$25,Datos!$C$28*F165))</f>
        <v>0</v>
      </c>
      <c r="J165" s="14" t="n">
        <f aca="false">MAX(-Datos!$C$25,MIN(Datos!$C$25,Datos!$C$28*G165))</f>
        <v>0</v>
      </c>
      <c r="K165" s="33" t="n">
        <f aca="false">(0.85*Datos!$C$14*$B$158*D165+$F$158*(H165-IF($D$158&lt;D165,0.85*Datos!$C$14,0))+$H$158*(I165-IF($C$158/2&lt;D165,0.85*Datos!$C$14,0))+$G$158*(J165-IF($E$158&lt;D165,0.85*Datos!$C$14,0)))/1000</f>
        <v>0</v>
      </c>
      <c r="L165" s="33" t="n">
        <f aca="false">(0.85*Datos!$C$14*$B$158*D165*($C$158/2-D165/2)+$F$158*(H165-IF($D$158&lt;D165,0.85*Datos!$C$14,0))*($C$158/2-$D$158)+$G$158*(J165-IF($E$158&lt;D165,0.85*Datos!$C$14,0))*($C$158/2-$E$158))/10^6</f>
        <v>0</v>
      </c>
      <c r="M165" s="44" t="n">
        <f aca="false">-G165</f>
        <v>-0</v>
      </c>
      <c r="N165" s="30" t="n">
        <f aca="false">IF(M165&gt;=0.005,0.9,IF(M165&lt;=Datos!$C$25/Datos!$C$28,0.65,0.65+(M165-Datos!$C$25/Datos!$C$28)*0.25/(0.005-Datos!$C$25/Datos!$C$28)))</f>
        <v>0.65</v>
      </c>
      <c r="O165" s="33" t="n">
        <f aca="false">MIN(N165*K165,$J$158)</f>
        <v>0</v>
      </c>
      <c r="P165" s="33" t="n">
        <f aca="false">N165*L165</f>
        <v>0</v>
      </c>
    </row>
    <row r="166" customFormat="false" ht="15" hidden="false" customHeight="false" outlineLevel="0" collapsed="false">
      <c r="B166" s="22" t="n">
        <v>0.9</v>
      </c>
      <c r="C166" s="14" t="n">
        <f aca="false">B166*$C$158</f>
        <v>0</v>
      </c>
      <c r="D166" s="14" t="n">
        <f aca="false">MIN(Datos!$C$16*C166,$C$158)</f>
        <v>0</v>
      </c>
      <c r="E166" s="44" t="n">
        <f aca="false">IF(C166=0,0,0.003*(C166-$D$158)/C166)</f>
        <v>0</v>
      </c>
      <c r="F166" s="44" t="n">
        <f aca="false">IF(C166=0,0,0.003*(C166-$C$158/2)/C166)</f>
        <v>0</v>
      </c>
      <c r="G166" s="44" t="n">
        <f aca="false">IF(C166=0,0,0.003*(C166-$E$158)/C166)</f>
        <v>0</v>
      </c>
      <c r="H166" s="14" t="n">
        <f aca="false">MAX(-Datos!$C$25,MIN(Datos!$C$25,Datos!$C$28*E166))</f>
        <v>0</v>
      </c>
      <c r="I166" s="14" t="n">
        <f aca="false">MAX(-Datos!$C$25,MIN(Datos!$C$25,Datos!$C$28*F166))</f>
        <v>0</v>
      </c>
      <c r="J166" s="14" t="n">
        <f aca="false">MAX(-Datos!$C$25,MIN(Datos!$C$25,Datos!$C$28*G166))</f>
        <v>0</v>
      </c>
      <c r="K166" s="33" t="n">
        <f aca="false">(0.85*Datos!$C$14*$B$158*D166+$F$158*(H166-IF($D$158&lt;D166,0.85*Datos!$C$14,0))+$H$158*(I166-IF($C$158/2&lt;D166,0.85*Datos!$C$14,0))+$G$158*(J166-IF($E$158&lt;D166,0.85*Datos!$C$14,0)))/1000</f>
        <v>0</v>
      </c>
      <c r="L166" s="33" t="n">
        <f aca="false">(0.85*Datos!$C$14*$B$158*D166*($C$158/2-D166/2)+$F$158*(H166-IF($D$158&lt;D166,0.85*Datos!$C$14,0))*($C$158/2-$D$158)+$G$158*(J166-IF($E$158&lt;D166,0.85*Datos!$C$14,0))*($C$158/2-$E$158))/10^6</f>
        <v>0</v>
      </c>
      <c r="M166" s="44" t="n">
        <f aca="false">-G166</f>
        <v>-0</v>
      </c>
      <c r="N166" s="30" t="n">
        <f aca="false">IF(M166&gt;=0.005,0.9,IF(M166&lt;=Datos!$C$25/Datos!$C$28,0.65,0.65+(M166-Datos!$C$25/Datos!$C$28)*0.25/(0.005-Datos!$C$25/Datos!$C$28)))</f>
        <v>0.65</v>
      </c>
      <c r="O166" s="33" t="n">
        <f aca="false">MIN(N166*K166,$J$158)</f>
        <v>0</v>
      </c>
      <c r="P166" s="33" t="n">
        <f aca="false">N166*L166</f>
        <v>0</v>
      </c>
    </row>
    <row r="167" customFormat="false" ht="15" hidden="false" customHeight="false" outlineLevel="0" collapsed="false">
      <c r="B167" s="22" t="n">
        <v>0.8</v>
      </c>
      <c r="C167" s="14" t="n">
        <f aca="false">B167*$C$158</f>
        <v>0</v>
      </c>
      <c r="D167" s="14" t="n">
        <f aca="false">MIN(Datos!$C$16*C167,$C$158)</f>
        <v>0</v>
      </c>
      <c r="E167" s="44" t="n">
        <f aca="false">IF(C167=0,0,0.003*(C167-$D$158)/C167)</f>
        <v>0</v>
      </c>
      <c r="F167" s="44" t="n">
        <f aca="false">IF(C167=0,0,0.003*(C167-$C$158/2)/C167)</f>
        <v>0</v>
      </c>
      <c r="G167" s="44" t="n">
        <f aca="false">IF(C167=0,0,0.003*(C167-$E$158)/C167)</f>
        <v>0</v>
      </c>
      <c r="H167" s="14" t="n">
        <f aca="false">MAX(-Datos!$C$25,MIN(Datos!$C$25,Datos!$C$28*E167))</f>
        <v>0</v>
      </c>
      <c r="I167" s="14" t="n">
        <f aca="false">MAX(-Datos!$C$25,MIN(Datos!$C$25,Datos!$C$28*F167))</f>
        <v>0</v>
      </c>
      <c r="J167" s="14" t="n">
        <f aca="false">MAX(-Datos!$C$25,MIN(Datos!$C$25,Datos!$C$28*G167))</f>
        <v>0</v>
      </c>
      <c r="K167" s="33" t="n">
        <f aca="false">(0.85*Datos!$C$14*$B$158*D167+$F$158*(H167-IF($D$158&lt;D167,0.85*Datos!$C$14,0))+$H$158*(I167-IF($C$158/2&lt;D167,0.85*Datos!$C$14,0))+$G$158*(J167-IF($E$158&lt;D167,0.85*Datos!$C$14,0)))/1000</f>
        <v>0</v>
      </c>
      <c r="L167" s="33" t="n">
        <f aca="false">(0.85*Datos!$C$14*$B$158*D167*($C$158/2-D167/2)+$F$158*(H167-IF($D$158&lt;D167,0.85*Datos!$C$14,0))*($C$158/2-$D$158)+$G$158*(J167-IF($E$158&lt;D167,0.85*Datos!$C$14,0))*($C$158/2-$E$158))/10^6</f>
        <v>0</v>
      </c>
      <c r="M167" s="44" t="n">
        <f aca="false">-G167</f>
        <v>-0</v>
      </c>
      <c r="N167" s="30" t="n">
        <f aca="false">IF(M167&gt;=0.005,0.9,IF(M167&lt;=Datos!$C$25/Datos!$C$28,0.65,0.65+(M167-Datos!$C$25/Datos!$C$28)*0.25/(0.005-Datos!$C$25/Datos!$C$28)))</f>
        <v>0.65</v>
      </c>
      <c r="O167" s="33" t="n">
        <f aca="false">MIN(N167*K167,$J$158)</f>
        <v>0</v>
      </c>
      <c r="P167" s="33" t="n">
        <f aca="false">N167*L167</f>
        <v>0</v>
      </c>
    </row>
    <row r="168" customFormat="false" ht="15" hidden="false" customHeight="false" outlineLevel="0" collapsed="false">
      <c r="B168" s="22" t="n">
        <v>0.7</v>
      </c>
      <c r="C168" s="14" t="n">
        <f aca="false">B168*$C$158</f>
        <v>0</v>
      </c>
      <c r="D168" s="14" t="n">
        <f aca="false">MIN(Datos!$C$16*C168,$C$158)</f>
        <v>0</v>
      </c>
      <c r="E168" s="44" t="n">
        <f aca="false">IF(C168=0,0,0.003*(C168-$D$158)/C168)</f>
        <v>0</v>
      </c>
      <c r="F168" s="44" t="n">
        <f aca="false">IF(C168=0,0,0.003*(C168-$C$158/2)/C168)</f>
        <v>0</v>
      </c>
      <c r="G168" s="44" t="n">
        <f aca="false">IF(C168=0,0,0.003*(C168-$E$158)/C168)</f>
        <v>0</v>
      </c>
      <c r="H168" s="14" t="n">
        <f aca="false">MAX(-Datos!$C$25,MIN(Datos!$C$25,Datos!$C$28*E168))</f>
        <v>0</v>
      </c>
      <c r="I168" s="14" t="n">
        <f aca="false">MAX(-Datos!$C$25,MIN(Datos!$C$25,Datos!$C$28*F168))</f>
        <v>0</v>
      </c>
      <c r="J168" s="14" t="n">
        <f aca="false">MAX(-Datos!$C$25,MIN(Datos!$C$25,Datos!$C$28*G168))</f>
        <v>0</v>
      </c>
      <c r="K168" s="33" t="n">
        <f aca="false">(0.85*Datos!$C$14*$B$158*D168+$F$158*(H168-IF($D$158&lt;D168,0.85*Datos!$C$14,0))+$H$158*(I168-IF($C$158/2&lt;D168,0.85*Datos!$C$14,0))+$G$158*(J168-IF($E$158&lt;D168,0.85*Datos!$C$14,0)))/1000</f>
        <v>0</v>
      </c>
      <c r="L168" s="33" t="n">
        <f aca="false">(0.85*Datos!$C$14*$B$158*D168*($C$158/2-D168/2)+$F$158*(H168-IF($D$158&lt;D168,0.85*Datos!$C$14,0))*($C$158/2-$D$158)+$G$158*(J168-IF($E$158&lt;D168,0.85*Datos!$C$14,0))*($C$158/2-$E$158))/10^6</f>
        <v>0</v>
      </c>
      <c r="M168" s="44" t="n">
        <f aca="false">-G168</f>
        <v>-0</v>
      </c>
      <c r="N168" s="30" t="n">
        <f aca="false">IF(M168&gt;=0.005,0.9,IF(M168&lt;=Datos!$C$25/Datos!$C$28,0.65,0.65+(M168-Datos!$C$25/Datos!$C$28)*0.25/(0.005-Datos!$C$25/Datos!$C$28)))</f>
        <v>0.65</v>
      </c>
      <c r="O168" s="33" t="n">
        <f aca="false">MIN(N168*K168,$J$158)</f>
        <v>0</v>
      </c>
      <c r="P168" s="33" t="n">
        <f aca="false">N168*L168</f>
        <v>0</v>
      </c>
    </row>
    <row r="169" customFormat="false" ht="15" hidden="false" customHeight="false" outlineLevel="0" collapsed="false">
      <c r="B169" s="22" t="n">
        <v>0.6</v>
      </c>
      <c r="C169" s="14" t="n">
        <f aca="false">B169*$C$158</f>
        <v>0</v>
      </c>
      <c r="D169" s="14" t="n">
        <f aca="false">MIN(Datos!$C$16*C169,$C$158)</f>
        <v>0</v>
      </c>
      <c r="E169" s="44" t="n">
        <f aca="false">IF(C169=0,0,0.003*(C169-$D$158)/C169)</f>
        <v>0</v>
      </c>
      <c r="F169" s="44" t="n">
        <f aca="false">IF(C169=0,0,0.003*(C169-$C$158/2)/C169)</f>
        <v>0</v>
      </c>
      <c r="G169" s="44" t="n">
        <f aca="false">IF(C169=0,0,0.003*(C169-$E$158)/C169)</f>
        <v>0</v>
      </c>
      <c r="H169" s="14" t="n">
        <f aca="false">MAX(-Datos!$C$25,MIN(Datos!$C$25,Datos!$C$28*E169))</f>
        <v>0</v>
      </c>
      <c r="I169" s="14" t="n">
        <f aca="false">MAX(-Datos!$C$25,MIN(Datos!$C$25,Datos!$C$28*F169))</f>
        <v>0</v>
      </c>
      <c r="J169" s="14" t="n">
        <f aca="false">MAX(-Datos!$C$25,MIN(Datos!$C$25,Datos!$C$28*G169))</f>
        <v>0</v>
      </c>
      <c r="K169" s="33" t="n">
        <f aca="false">(0.85*Datos!$C$14*$B$158*D169+$F$158*(H169-IF($D$158&lt;D169,0.85*Datos!$C$14,0))+$H$158*(I169-IF($C$158/2&lt;D169,0.85*Datos!$C$14,0))+$G$158*(J169-IF($E$158&lt;D169,0.85*Datos!$C$14,0)))/1000</f>
        <v>0</v>
      </c>
      <c r="L169" s="33" t="n">
        <f aca="false">(0.85*Datos!$C$14*$B$158*D169*($C$158/2-D169/2)+$F$158*(H169-IF($D$158&lt;D169,0.85*Datos!$C$14,0))*($C$158/2-$D$158)+$G$158*(J169-IF($E$158&lt;D169,0.85*Datos!$C$14,0))*($C$158/2-$E$158))/10^6</f>
        <v>0</v>
      </c>
      <c r="M169" s="44" t="n">
        <f aca="false">-G169</f>
        <v>-0</v>
      </c>
      <c r="N169" s="30" t="n">
        <f aca="false">IF(M169&gt;=0.005,0.9,IF(M169&lt;=Datos!$C$25/Datos!$C$28,0.65,0.65+(M169-Datos!$C$25/Datos!$C$28)*0.25/(0.005-Datos!$C$25/Datos!$C$28)))</f>
        <v>0.65</v>
      </c>
      <c r="O169" s="33" t="n">
        <f aca="false">MIN(N169*K169,$J$158)</f>
        <v>0</v>
      </c>
      <c r="P169" s="33" t="n">
        <f aca="false">N169*L169</f>
        <v>0</v>
      </c>
    </row>
    <row r="170" customFormat="false" ht="15" hidden="false" customHeight="false" outlineLevel="0" collapsed="false">
      <c r="B170" s="22" t="n">
        <v>0.5</v>
      </c>
      <c r="C170" s="14" t="n">
        <f aca="false">B170*$C$158</f>
        <v>0</v>
      </c>
      <c r="D170" s="14" t="n">
        <f aca="false">MIN(Datos!$C$16*C170,$C$158)</f>
        <v>0</v>
      </c>
      <c r="E170" s="44" t="n">
        <f aca="false">IF(C170=0,0,0.003*(C170-$D$158)/C170)</f>
        <v>0</v>
      </c>
      <c r="F170" s="44" t="n">
        <f aca="false">IF(C170=0,0,0.003*(C170-$C$158/2)/C170)</f>
        <v>0</v>
      </c>
      <c r="G170" s="44" t="n">
        <f aca="false">IF(C170=0,0,0.003*(C170-$E$158)/C170)</f>
        <v>0</v>
      </c>
      <c r="H170" s="14" t="n">
        <f aca="false">MAX(-Datos!$C$25,MIN(Datos!$C$25,Datos!$C$28*E170))</f>
        <v>0</v>
      </c>
      <c r="I170" s="14" t="n">
        <f aca="false">MAX(-Datos!$C$25,MIN(Datos!$C$25,Datos!$C$28*F170))</f>
        <v>0</v>
      </c>
      <c r="J170" s="14" t="n">
        <f aca="false">MAX(-Datos!$C$25,MIN(Datos!$C$25,Datos!$C$28*G170))</f>
        <v>0</v>
      </c>
      <c r="K170" s="33" t="n">
        <f aca="false">(0.85*Datos!$C$14*$B$158*D170+$F$158*(H170-IF($D$158&lt;D170,0.85*Datos!$C$14,0))+$H$158*(I170-IF($C$158/2&lt;D170,0.85*Datos!$C$14,0))+$G$158*(J170-IF($E$158&lt;D170,0.85*Datos!$C$14,0)))/1000</f>
        <v>0</v>
      </c>
      <c r="L170" s="33" t="n">
        <f aca="false">(0.85*Datos!$C$14*$B$158*D170*($C$158/2-D170/2)+$F$158*(H170-IF($D$158&lt;D170,0.85*Datos!$C$14,0))*($C$158/2-$D$158)+$G$158*(J170-IF($E$158&lt;D170,0.85*Datos!$C$14,0))*($C$158/2-$E$158))/10^6</f>
        <v>0</v>
      </c>
      <c r="M170" s="44" t="n">
        <f aca="false">-G170</f>
        <v>-0</v>
      </c>
      <c r="N170" s="30" t="n">
        <f aca="false">IF(M170&gt;=0.005,0.9,IF(M170&lt;=Datos!$C$25/Datos!$C$28,0.65,0.65+(M170-Datos!$C$25/Datos!$C$28)*0.25/(0.005-Datos!$C$25/Datos!$C$28)))</f>
        <v>0.65</v>
      </c>
      <c r="O170" s="33" t="n">
        <f aca="false">MIN(N170*K170,$J$158)</f>
        <v>0</v>
      </c>
      <c r="P170" s="33" t="n">
        <f aca="false">N170*L170</f>
        <v>0</v>
      </c>
    </row>
    <row r="171" customFormat="false" ht="15" hidden="false" customHeight="false" outlineLevel="0" collapsed="false">
      <c r="B171" s="22" t="n">
        <v>0.45</v>
      </c>
      <c r="C171" s="14" t="n">
        <f aca="false">B171*$C$158</f>
        <v>0</v>
      </c>
      <c r="D171" s="14" t="n">
        <f aca="false">MIN(Datos!$C$16*C171,$C$158)</f>
        <v>0</v>
      </c>
      <c r="E171" s="44" t="n">
        <f aca="false">IF(C171=0,0,0.003*(C171-$D$158)/C171)</f>
        <v>0</v>
      </c>
      <c r="F171" s="44" t="n">
        <f aca="false">IF(C171=0,0,0.003*(C171-$C$158/2)/C171)</f>
        <v>0</v>
      </c>
      <c r="G171" s="44" t="n">
        <f aca="false">IF(C171=0,0,0.003*(C171-$E$158)/C171)</f>
        <v>0</v>
      </c>
      <c r="H171" s="14" t="n">
        <f aca="false">MAX(-Datos!$C$25,MIN(Datos!$C$25,Datos!$C$28*E171))</f>
        <v>0</v>
      </c>
      <c r="I171" s="14" t="n">
        <f aca="false">MAX(-Datos!$C$25,MIN(Datos!$C$25,Datos!$C$28*F171))</f>
        <v>0</v>
      </c>
      <c r="J171" s="14" t="n">
        <f aca="false">MAX(-Datos!$C$25,MIN(Datos!$C$25,Datos!$C$28*G171))</f>
        <v>0</v>
      </c>
      <c r="K171" s="33" t="n">
        <f aca="false">(0.85*Datos!$C$14*$B$158*D171+$F$158*(H171-IF($D$158&lt;D171,0.85*Datos!$C$14,0))+$H$158*(I171-IF($C$158/2&lt;D171,0.85*Datos!$C$14,0))+$G$158*(J171-IF($E$158&lt;D171,0.85*Datos!$C$14,0)))/1000</f>
        <v>0</v>
      </c>
      <c r="L171" s="33" t="n">
        <f aca="false">(0.85*Datos!$C$14*$B$158*D171*($C$158/2-D171/2)+$F$158*(H171-IF($D$158&lt;D171,0.85*Datos!$C$14,0))*($C$158/2-$D$158)+$G$158*(J171-IF($E$158&lt;D171,0.85*Datos!$C$14,0))*($C$158/2-$E$158))/10^6</f>
        <v>0</v>
      </c>
      <c r="M171" s="44" t="n">
        <f aca="false">-G171</f>
        <v>-0</v>
      </c>
      <c r="N171" s="30" t="n">
        <f aca="false">IF(M171&gt;=0.005,0.9,IF(M171&lt;=Datos!$C$25/Datos!$C$28,0.65,0.65+(M171-Datos!$C$25/Datos!$C$28)*0.25/(0.005-Datos!$C$25/Datos!$C$28)))</f>
        <v>0.65</v>
      </c>
      <c r="O171" s="33" t="n">
        <f aca="false">MIN(N171*K171,$J$158)</f>
        <v>0</v>
      </c>
      <c r="P171" s="33" t="n">
        <f aca="false">N171*L171</f>
        <v>0</v>
      </c>
    </row>
    <row r="172" customFormat="false" ht="15" hidden="false" customHeight="false" outlineLevel="0" collapsed="false">
      <c r="B172" s="22" t="n">
        <v>0.4</v>
      </c>
      <c r="C172" s="14" t="n">
        <f aca="false">B172*$C$158</f>
        <v>0</v>
      </c>
      <c r="D172" s="14" t="n">
        <f aca="false">MIN(Datos!$C$16*C172,$C$158)</f>
        <v>0</v>
      </c>
      <c r="E172" s="44" t="n">
        <f aca="false">IF(C172=0,0,0.003*(C172-$D$158)/C172)</f>
        <v>0</v>
      </c>
      <c r="F172" s="44" t="n">
        <f aca="false">IF(C172=0,0,0.003*(C172-$C$158/2)/C172)</f>
        <v>0</v>
      </c>
      <c r="G172" s="44" t="n">
        <f aca="false">IF(C172=0,0,0.003*(C172-$E$158)/C172)</f>
        <v>0</v>
      </c>
      <c r="H172" s="14" t="n">
        <f aca="false">MAX(-Datos!$C$25,MIN(Datos!$C$25,Datos!$C$28*E172))</f>
        <v>0</v>
      </c>
      <c r="I172" s="14" t="n">
        <f aca="false">MAX(-Datos!$C$25,MIN(Datos!$C$25,Datos!$C$28*F172))</f>
        <v>0</v>
      </c>
      <c r="J172" s="14" t="n">
        <f aca="false">MAX(-Datos!$C$25,MIN(Datos!$C$25,Datos!$C$28*G172))</f>
        <v>0</v>
      </c>
      <c r="K172" s="33" t="n">
        <f aca="false">(0.85*Datos!$C$14*$B$158*D172+$F$158*(H172-IF($D$158&lt;D172,0.85*Datos!$C$14,0))+$H$158*(I172-IF($C$158/2&lt;D172,0.85*Datos!$C$14,0))+$G$158*(J172-IF($E$158&lt;D172,0.85*Datos!$C$14,0)))/1000</f>
        <v>0</v>
      </c>
      <c r="L172" s="33" t="n">
        <f aca="false">(0.85*Datos!$C$14*$B$158*D172*($C$158/2-D172/2)+$F$158*(H172-IF($D$158&lt;D172,0.85*Datos!$C$14,0))*($C$158/2-$D$158)+$G$158*(J172-IF($E$158&lt;D172,0.85*Datos!$C$14,0))*($C$158/2-$E$158))/10^6</f>
        <v>0</v>
      </c>
      <c r="M172" s="44" t="n">
        <f aca="false">-G172</f>
        <v>-0</v>
      </c>
      <c r="N172" s="30" t="n">
        <f aca="false">IF(M172&gt;=0.005,0.9,IF(M172&lt;=Datos!$C$25/Datos!$C$28,0.65,0.65+(M172-Datos!$C$25/Datos!$C$28)*0.25/(0.005-Datos!$C$25/Datos!$C$28)))</f>
        <v>0.65</v>
      </c>
      <c r="O172" s="33" t="n">
        <f aca="false">MIN(N172*K172,$J$158)</f>
        <v>0</v>
      </c>
      <c r="P172" s="33" t="n">
        <f aca="false">N172*L172</f>
        <v>0</v>
      </c>
    </row>
    <row r="173" customFormat="false" ht="15" hidden="false" customHeight="false" outlineLevel="0" collapsed="false">
      <c r="B173" s="22" t="n">
        <v>0.35</v>
      </c>
      <c r="C173" s="14" t="n">
        <f aca="false">B173*$C$158</f>
        <v>0</v>
      </c>
      <c r="D173" s="14" t="n">
        <f aca="false">MIN(Datos!$C$16*C173,$C$158)</f>
        <v>0</v>
      </c>
      <c r="E173" s="44" t="n">
        <f aca="false">IF(C173=0,0,0.003*(C173-$D$158)/C173)</f>
        <v>0</v>
      </c>
      <c r="F173" s="44" t="n">
        <f aca="false">IF(C173=0,0,0.003*(C173-$C$158/2)/C173)</f>
        <v>0</v>
      </c>
      <c r="G173" s="44" t="n">
        <f aca="false">IF(C173=0,0,0.003*(C173-$E$158)/C173)</f>
        <v>0</v>
      </c>
      <c r="H173" s="14" t="n">
        <f aca="false">MAX(-Datos!$C$25,MIN(Datos!$C$25,Datos!$C$28*E173))</f>
        <v>0</v>
      </c>
      <c r="I173" s="14" t="n">
        <f aca="false">MAX(-Datos!$C$25,MIN(Datos!$C$25,Datos!$C$28*F173))</f>
        <v>0</v>
      </c>
      <c r="J173" s="14" t="n">
        <f aca="false">MAX(-Datos!$C$25,MIN(Datos!$C$25,Datos!$C$28*G173))</f>
        <v>0</v>
      </c>
      <c r="K173" s="33" t="n">
        <f aca="false">(0.85*Datos!$C$14*$B$158*D173+$F$158*(H173-IF($D$158&lt;D173,0.85*Datos!$C$14,0))+$H$158*(I173-IF($C$158/2&lt;D173,0.85*Datos!$C$14,0))+$G$158*(J173-IF($E$158&lt;D173,0.85*Datos!$C$14,0)))/1000</f>
        <v>0</v>
      </c>
      <c r="L173" s="33" t="n">
        <f aca="false">(0.85*Datos!$C$14*$B$158*D173*($C$158/2-D173/2)+$F$158*(H173-IF($D$158&lt;D173,0.85*Datos!$C$14,0))*($C$158/2-$D$158)+$G$158*(J173-IF($E$158&lt;D173,0.85*Datos!$C$14,0))*($C$158/2-$E$158))/10^6</f>
        <v>0</v>
      </c>
      <c r="M173" s="44" t="n">
        <f aca="false">-G173</f>
        <v>-0</v>
      </c>
      <c r="N173" s="30" t="n">
        <f aca="false">IF(M173&gt;=0.005,0.9,IF(M173&lt;=Datos!$C$25/Datos!$C$28,0.65,0.65+(M173-Datos!$C$25/Datos!$C$28)*0.25/(0.005-Datos!$C$25/Datos!$C$28)))</f>
        <v>0.65</v>
      </c>
      <c r="O173" s="33" t="n">
        <f aca="false">MIN(N173*K173,$J$158)</f>
        <v>0</v>
      </c>
      <c r="P173" s="33" t="n">
        <f aca="false">N173*L173</f>
        <v>0</v>
      </c>
    </row>
    <row r="174" customFormat="false" ht="15" hidden="false" customHeight="false" outlineLevel="0" collapsed="false">
      <c r="B174" s="22" t="n">
        <v>0.3</v>
      </c>
      <c r="C174" s="14" t="n">
        <f aca="false">B174*$C$158</f>
        <v>0</v>
      </c>
      <c r="D174" s="14" t="n">
        <f aca="false">MIN(Datos!$C$16*C174,$C$158)</f>
        <v>0</v>
      </c>
      <c r="E174" s="44" t="n">
        <f aca="false">IF(C174=0,0,0.003*(C174-$D$158)/C174)</f>
        <v>0</v>
      </c>
      <c r="F174" s="44" t="n">
        <f aca="false">IF(C174=0,0,0.003*(C174-$C$158/2)/C174)</f>
        <v>0</v>
      </c>
      <c r="G174" s="44" t="n">
        <f aca="false">IF(C174=0,0,0.003*(C174-$E$158)/C174)</f>
        <v>0</v>
      </c>
      <c r="H174" s="14" t="n">
        <f aca="false">MAX(-Datos!$C$25,MIN(Datos!$C$25,Datos!$C$28*E174))</f>
        <v>0</v>
      </c>
      <c r="I174" s="14" t="n">
        <f aca="false">MAX(-Datos!$C$25,MIN(Datos!$C$25,Datos!$C$28*F174))</f>
        <v>0</v>
      </c>
      <c r="J174" s="14" t="n">
        <f aca="false">MAX(-Datos!$C$25,MIN(Datos!$C$25,Datos!$C$28*G174))</f>
        <v>0</v>
      </c>
      <c r="K174" s="33" t="n">
        <f aca="false">(0.85*Datos!$C$14*$B$158*D174+$F$158*(H174-IF($D$158&lt;D174,0.85*Datos!$C$14,0))+$H$158*(I174-IF($C$158/2&lt;D174,0.85*Datos!$C$14,0))+$G$158*(J174-IF($E$158&lt;D174,0.85*Datos!$C$14,0)))/1000</f>
        <v>0</v>
      </c>
      <c r="L174" s="33" t="n">
        <f aca="false">(0.85*Datos!$C$14*$B$158*D174*($C$158/2-D174/2)+$F$158*(H174-IF($D$158&lt;D174,0.85*Datos!$C$14,0))*($C$158/2-$D$158)+$G$158*(J174-IF($E$158&lt;D174,0.85*Datos!$C$14,0))*($C$158/2-$E$158))/10^6</f>
        <v>0</v>
      </c>
      <c r="M174" s="44" t="n">
        <f aca="false">-G174</f>
        <v>-0</v>
      </c>
      <c r="N174" s="30" t="n">
        <f aca="false">IF(M174&gt;=0.005,0.9,IF(M174&lt;=Datos!$C$25/Datos!$C$28,0.65,0.65+(M174-Datos!$C$25/Datos!$C$28)*0.25/(0.005-Datos!$C$25/Datos!$C$28)))</f>
        <v>0.65</v>
      </c>
      <c r="O174" s="33" t="n">
        <f aca="false">MIN(N174*K174,$J$158)</f>
        <v>0</v>
      </c>
      <c r="P174" s="33" t="n">
        <f aca="false">N174*L174</f>
        <v>0</v>
      </c>
    </row>
    <row r="175" customFormat="false" ht="15" hidden="false" customHeight="false" outlineLevel="0" collapsed="false">
      <c r="B175" s="22" t="n">
        <v>0.25</v>
      </c>
      <c r="C175" s="14" t="n">
        <f aca="false">B175*$C$158</f>
        <v>0</v>
      </c>
      <c r="D175" s="14" t="n">
        <f aca="false">MIN(Datos!$C$16*C175,$C$158)</f>
        <v>0</v>
      </c>
      <c r="E175" s="44" t="n">
        <f aca="false">IF(C175=0,0,0.003*(C175-$D$158)/C175)</f>
        <v>0</v>
      </c>
      <c r="F175" s="44" t="n">
        <f aca="false">IF(C175=0,0,0.003*(C175-$C$158/2)/C175)</f>
        <v>0</v>
      </c>
      <c r="G175" s="44" t="n">
        <f aca="false">IF(C175=0,0,0.003*(C175-$E$158)/C175)</f>
        <v>0</v>
      </c>
      <c r="H175" s="14" t="n">
        <f aca="false">MAX(-Datos!$C$25,MIN(Datos!$C$25,Datos!$C$28*E175))</f>
        <v>0</v>
      </c>
      <c r="I175" s="14" t="n">
        <f aca="false">MAX(-Datos!$C$25,MIN(Datos!$C$25,Datos!$C$28*F175))</f>
        <v>0</v>
      </c>
      <c r="J175" s="14" t="n">
        <f aca="false">MAX(-Datos!$C$25,MIN(Datos!$C$25,Datos!$C$28*G175))</f>
        <v>0</v>
      </c>
      <c r="K175" s="33" t="n">
        <f aca="false">(0.85*Datos!$C$14*$B$158*D175+$F$158*(H175-IF($D$158&lt;D175,0.85*Datos!$C$14,0))+$H$158*(I175-IF($C$158/2&lt;D175,0.85*Datos!$C$14,0))+$G$158*(J175-IF($E$158&lt;D175,0.85*Datos!$C$14,0)))/1000</f>
        <v>0</v>
      </c>
      <c r="L175" s="33" t="n">
        <f aca="false">(0.85*Datos!$C$14*$B$158*D175*($C$158/2-D175/2)+$F$158*(H175-IF($D$158&lt;D175,0.85*Datos!$C$14,0))*($C$158/2-$D$158)+$G$158*(J175-IF($E$158&lt;D175,0.85*Datos!$C$14,0))*($C$158/2-$E$158))/10^6</f>
        <v>0</v>
      </c>
      <c r="M175" s="44" t="n">
        <f aca="false">-G175</f>
        <v>-0</v>
      </c>
      <c r="N175" s="30" t="n">
        <f aca="false">IF(M175&gt;=0.005,0.9,IF(M175&lt;=Datos!$C$25/Datos!$C$28,0.65,0.65+(M175-Datos!$C$25/Datos!$C$28)*0.25/(0.005-Datos!$C$25/Datos!$C$28)))</f>
        <v>0.65</v>
      </c>
      <c r="O175" s="33" t="n">
        <f aca="false">MIN(N175*K175,$J$158)</f>
        <v>0</v>
      </c>
      <c r="P175" s="33" t="n">
        <f aca="false">N175*L175</f>
        <v>0</v>
      </c>
    </row>
    <row r="176" customFormat="false" ht="15" hidden="false" customHeight="false" outlineLevel="0" collapsed="false">
      <c r="B176" s="22" t="n">
        <v>0.2</v>
      </c>
      <c r="C176" s="14" t="n">
        <f aca="false">B176*$C$158</f>
        <v>0</v>
      </c>
      <c r="D176" s="14" t="n">
        <f aca="false">MIN(Datos!$C$16*C176,$C$158)</f>
        <v>0</v>
      </c>
      <c r="E176" s="44" t="n">
        <f aca="false">IF(C176=0,0,0.003*(C176-$D$158)/C176)</f>
        <v>0</v>
      </c>
      <c r="F176" s="44" t="n">
        <f aca="false">IF(C176=0,0,0.003*(C176-$C$158/2)/C176)</f>
        <v>0</v>
      </c>
      <c r="G176" s="44" t="n">
        <f aca="false">IF(C176=0,0,0.003*(C176-$E$158)/C176)</f>
        <v>0</v>
      </c>
      <c r="H176" s="14" t="n">
        <f aca="false">MAX(-Datos!$C$25,MIN(Datos!$C$25,Datos!$C$28*E176))</f>
        <v>0</v>
      </c>
      <c r="I176" s="14" t="n">
        <f aca="false">MAX(-Datos!$C$25,MIN(Datos!$C$25,Datos!$C$28*F176))</f>
        <v>0</v>
      </c>
      <c r="J176" s="14" t="n">
        <f aca="false">MAX(-Datos!$C$25,MIN(Datos!$C$25,Datos!$C$28*G176))</f>
        <v>0</v>
      </c>
      <c r="K176" s="33" t="n">
        <f aca="false">(0.85*Datos!$C$14*$B$158*D176+$F$158*(H176-IF($D$158&lt;D176,0.85*Datos!$C$14,0))+$H$158*(I176-IF($C$158/2&lt;D176,0.85*Datos!$C$14,0))+$G$158*(J176-IF($E$158&lt;D176,0.85*Datos!$C$14,0)))/1000</f>
        <v>0</v>
      </c>
      <c r="L176" s="33" t="n">
        <f aca="false">(0.85*Datos!$C$14*$B$158*D176*($C$158/2-D176/2)+$F$158*(H176-IF($D$158&lt;D176,0.85*Datos!$C$14,0))*($C$158/2-$D$158)+$G$158*(J176-IF($E$158&lt;D176,0.85*Datos!$C$14,0))*($C$158/2-$E$158))/10^6</f>
        <v>0</v>
      </c>
      <c r="M176" s="44" t="n">
        <f aca="false">-G176</f>
        <v>-0</v>
      </c>
      <c r="N176" s="30" t="n">
        <f aca="false">IF(M176&gt;=0.005,0.9,IF(M176&lt;=Datos!$C$25/Datos!$C$28,0.65,0.65+(M176-Datos!$C$25/Datos!$C$28)*0.25/(0.005-Datos!$C$25/Datos!$C$28)))</f>
        <v>0.65</v>
      </c>
      <c r="O176" s="33" t="n">
        <f aca="false">MIN(N176*K176,$J$158)</f>
        <v>0</v>
      </c>
      <c r="P176" s="33" t="n">
        <f aca="false">N176*L176</f>
        <v>0</v>
      </c>
    </row>
    <row r="177" customFormat="false" ht="15" hidden="false" customHeight="false" outlineLevel="0" collapsed="false">
      <c r="B177" s="22" t="n">
        <v>0.15</v>
      </c>
      <c r="C177" s="14" t="n">
        <f aca="false">B177*$C$158</f>
        <v>0</v>
      </c>
      <c r="D177" s="14" t="n">
        <f aca="false">MIN(Datos!$C$16*C177,$C$158)</f>
        <v>0</v>
      </c>
      <c r="E177" s="44" t="n">
        <f aca="false">IF(C177=0,0,0.003*(C177-$D$158)/C177)</f>
        <v>0</v>
      </c>
      <c r="F177" s="44" t="n">
        <f aca="false">IF(C177=0,0,0.003*(C177-$C$158/2)/C177)</f>
        <v>0</v>
      </c>
      <c r="G177" s="44" t="n">
        <f aca="false">IF(C177=0,0,0.003*(C177-$E$158)/C177)</f>
        <v>0</v>
      </c>
      <c r="H177" s="14" t="n">
        <f aca="false">MAX(-Datos!$C$25,MIN(Datos!$C$25,Datos!$C$28*E177))</f>
        <v>0</v>
      </c>
      <c r="I177" s="14" t="n">
        <f aca="false">MAX(-Datos!$C$25,MIN(Datos!$C$25,Datos!$C$28*F177))</f>
        <v>0</v>
      </c>
      <c r="J177" s="14" t="n">
        <f aca="false">MAX(-Datos!$C$25,MIN(Datos!$C$25,Datos!$C$28*G177))</f>
        <v>0</v>
      </c>
      <c r="K177" s="33" t="n">
        <f aca="false">(0.85*Datos!$C$14*$B$158*D177+$F$158*(H177-IF($D$158&lt;D177,0.85*Datos!$C$14,0))+$H$158*(I177-IF($C$158/2&lt;D177,0.85*Datos!$C$14,0))+$G$158*(J177-IF($E$158&lt;D177,0.85*Datos!$C$14,0)))/1000</f>
        <v>0</v>
      </c>
      <c r="L177" s="33" t="n">
        <f aca="false">(0.85*Datos!$C$14*$B$158*D177*($C$158/2-D177/2)+$F$158*(H177-IF($D$158&lt;D177,0.85*Datos!$C$14,0))*($C$158/2-$D$158)+$G$158*(J177-IF($E$158&lt;D177,0.85*Datos!$C$14,0))*($C$158/2-$E$158))/10^6</f>
        <v>0</v>
      </c>
      <c r="M177" s="44" t="n">
        <f aca="false">-G177</f>
        <v>-0</v>
      </c>
      <c r="N177" s="30" t="n">
        <f aca="false">IF(M177&gt;=0.005,0.9,IF(M177&lt;=Datos!$C$25/Datos!$C$28,0.65,0.65+(M177-Datos!$C$25/Datos!$C$28)*0.25/(0.005-Datos!$C$25/Datos!$C$28)))</f>
        <v>0.65</v>
      </c>
      <c r="O177" s="33" t="n">
        <f aca="false">MIN(N177*K177,$J$158)</f>
        <v>0</v>
      </c>
      <c r="P177" s="33" t="n">
        <f aca="false">N177*L177</f>
        <v>0</v>
      </c>
    </row>
    <row r="178" customFormat="false" ht="15" hidden="false" customHeight="false" outlineLevel="0" collapsed="false">
      <c r="B178" s="22" t="n">
        <v>0.1</v>
      </c>
      <c r="C178" s="14" t="n">
        <f aca="false">B178*$C$158</f>
        <v>0</v>
      </c>
      <c r="D178" s="14" t="n">
        <f aca="false">MIN(Datos!$C$16*C178,$C$158)</f>
        <v>0</v>
      </c>
      <c r="E178" s="44" t="n">
        <f aca="false">IF(C178=0,0,0.003*(C178-$D$158)/C178)</f>
        <v>0</v>
      </c>
      <c r="F178" s="44" t="n">
        <f aca="false">IF(C178=0,0,0.003*(C178-$C$158/2)/C178)</f>
        <v>0</v>
      </c>
      <c r="G178" s="44" t="n">
        <f aca="false">IF(C178=0,0,0.003*(C178-$E$158)/C178)</f>
        <v>0</v>
      </c>
      <c r="H178" s="14" t="n">
        <f aca="false">MAX(-Datos!$C$25,MIN(Datos!$C$25,Datos!$C$28*E178))</f>
        <v>0</v>
      </c>
      <c r="I178" s="14" t="n">
        <f aca="false">MAX(-Datos!$C$25,MIN(Datos!$C$25,Datos!$C$28*F178))</f>
        <v>0</v>
      </c>
      <c r="J178" s="14" t="n">
        <f aca="false">MAX(-Datos!$C$25,MIN(Datos!$C$25,Datos!$C$28*G178))</f>
        <v>0</v>
      </c>
      <c r="K178" s="33" t="n">
        <f aca="false">(0.85*Datos!$C$14*$B$158*D178+$F$158*(H178-IF($D$158&lt;D178,0.85*Datos!$C$14,0))+$H$158*(I178-IF($C$158/2&lt;D178,0.85*Datos!$C$14,0))+$G$158*(J178-IF($E$158&lt;D178,0.85*Datos!$C$14,0)))/1000</f>
        <v>0</v>
      </c>
      <c r="L178" s="33" t="n">
        <f aca="false">(0.85*Datos!$C$14*$B$158*D178*($C$158/2-D178/2)+$F$158*(H178-IF($D$158&lt;D178,0.85*Datos!$C$14,0))*($C$158/2-$D$158)+$G$158*(J178-IF($E$158&lt;D178,0.85*Datos!$C$14,0))*($C$158/2-$E$158))/10^6</f>
        <v>0</v>
      </c>
      <c r="M178" s="44" t="n">
        <f aca="false">-G178</f>
        <v>-0</v>
      </c>
      <c r="N178" s="30" t="n">
        <f aca="false">IF(M178&gt;=0.005,0.9,IF(M178&lt;=Datos!$C$25/Datos!$C$28,0.65,0.65+(M178-Datos!$C$25/Datos!$C$28)*0.25/(0.005-Datos!$C$25/Datos!$C$28)))</f>
        <v>0.65</v>
      </c>
      <c r="O178" s="33" t="n">
        <f aca="false">MIN(N178*K178,$J$158)</f>
        <v>0</v>
      </c>
      <c r="P178" s="33" t="n">
        <f aca="false">N178*L178</f>
        <v>0</v>
      </c>
    </row>
    <row r="179" customFormat="false" ht="15" hidden="false" customHeight="false" outlineLevel="0" collapsed="false">
      <c r="B179" s="22" t="n">
        <v>0.05</v>
      </c>
      <c r="C179" s="14" t="n">
        <f aca="false">B179*$C$158</f>
        <v>0</v>
      </c>
      <c r="D179" s="14" t="n">
        <f aca="false">MIN(Datos!$C$16*C179,$C$158)</f>
        <v>0</v>
      </c>
      <c r="E179" s="44" t="n">
        <f aca="false">IF(C179=0,0,0.003*(C179-$D$158)/C179)</f>
        <v>0</v>
      </c>
      <c r="F179" s="44" t="n">
        <f aca="false">IF(C179=0,0,0.003*(C179-$C$158/2)/C179)</f>
        <v>0</v>
      </c>
      <c r="G179" s="44" t="n">
        <f aca="false">IF(C179=0,0,0.003*(C179-$E$158)/C179)</f>
        <v>0</v>
      </c>
      <c r="H179" s="14" t="n">
        <f aca="false">MAX(-Datos!$C$25,MIN(Datos!$C$25,Datos!$C$28*E179))</f>
        <v>0</v>
      </c>
      <c r="I179" s="14" t="n">
        <f aca="false">MAX(-Datos!$C$25,MIN(Datos!$C$25,Datos!$C$28*F179))</f>
        <v>0</v>
      </c>
      <c r="J179" s="14" t="n">
        <f aca="false">MAX(-Datos!$C$25,MIN(Datos!$C$25,Datos!$C$28*G179))</f>
        <v>0</v>
      </c>
      <c r="K179" s="33" t="n">
        <f aca="false">(0.85*Datos!$C$14*$B$158*D179+$F$158*(H179-IF($D$158&lt;D179,0.85*Datos!$C$14,0))+$H$158*(I179-IF($C$158/2&lt;D179,0.85*Datos!$C$14,0))+$G$158*(J179-IF($E$158&lt;D179,0.85*Datos!$C$14,0)))/1000</f>
        <v>0</v>
      </c>
      <c r="L179" s="33" t="n">
        <f aca="false">(0.85*Datos!$C$14*$B$158*D179*($C$158/2-D179/2)+$F$158*(H179-IF($D$158&lt;D179,0.85*Datos!$C$14,0))*($C$158/2-$D$158)+$G$158*(J179-IF($E$158&lt;D179,0.85*Datos!$C$14,0))*($C$158/2-$E$158))/10^6</f>
        <v>0</v>
      </c>
      <c r="M179" s="44" t="n">
        <f aca="false">-G179</f>
        <v>-0</v>
      </c>
      <c r="N179" s="30" t="n">
        <f aca="false">IF(M179&gt;=0.005,0.9,IF(M179&lt;=Datos!$C$25/Datos!$C$28,0.65,0.65+(M179-Datos!$C$25/Datos!$C$28)*0.25/(0.005-Datos!$C$25/Datos!$C$28)))</f>
        <v>0.65</v>
      </c>
      <c r="O179" s="33" t="n">
        <f aca="false">MIN(N179*K179,$J$158)</f>
        <v>0</v>
      </c>
      <c r="P179" s="33" t="n">
        <f aca="false">N179*L179</f>
        <v>0</v>
      </c>
    </row>
    <row r="180" customFormat="false" ht="15" hidden="false" customHeight="false" outlineLevel="0" collapsed="false">
      <c r="B180" s="22" t="n">
        <v>0.02</v>
      </c>
      <c r="C180" s="14" t="n">
        <f aca="false">B180*$C$158</f>
        <v>0</v>
      </c>
      <c r="D180" s="14" t="n">
        <f aca="false">MIN(Datos!$C$16*C180,$C$158)</f>
        <v>0</v>
      </c>
      <c r="E180" s="44" t="n">
        <f aca="false">IF(C180=0,0,0.003*(C180-$D$158)/C180)</f>
        <v>0</v>
      </c>
      <c r="F180" s="44" t="n">
        <f aca="false">IF(C180=0,0,0.003*(C180-$C$158/2)/C180)</f>
        <v>0</v>
      </c>
      <c r="G180" s="44" t="n">
        <f aca="false">IF(C180=0,0,0.003*(C180-$E$158)/C180)</f>
        <v>0</v>
      </c>
      <c r="H180" s="14" t="n">
        <f aca="false">MAX(-Datos!$C$25,MIN(Datos!$C$25,Datos!$C$28*E180))</f>
        <v>0</v>
      </c>
      <c r="I180" s="14" t="n">
        <f aca="false">MAX(-Datos!$C$25,MIN(Datos!$C$25,Datos!$C$28*F180))</f>
        <v>0</v>
      </c>
      <c r="J180" s="14" t="n">
        <f aca="false">MAX(-Datos!$C$25,MIN(Datos!$C$25,Datos!$C$28*G180))</f>
        <v>0</v>
      </c>
      <c r="K180" s="33" t="n">
        <f aca="false">(0.85*Datos!$C$14*$B$158*D180+$F$158*(H180-IF($D$158&lt;D180,0.85*Datos!$C$14,0))+$H$158*(I180-IF($C$158/2&lt;D180,0.85*Datos!$C$14,0))+$G$158*(J180-IF($E$158&lt;D180,0.85*Datos!$C$14,0)))/1000</f>
        <v>0</v>
      </c>
      <c r="L180" s="33" t="n">
        <f aca="false">(0.85*Datos!$C$14*$B$158*D180*($C$158/2-D180/2)+$F$158*(H180-IF($D$158&lt;D180,0.85*Datos!$C$14,0))*($C$158/2-$D$158)+$G$158*(J180-IF($E$158&lt;D180,0.85*Datos!$C$14,0))*($C$158/2-$E$158))/10^6</f>
        <v>0</v>
      </c>
      <c r="M180" s="44" t="n">
        <f aca="false">-G180</f>
        <v>-0</v>
      </c>
      <c r="N180" s="30" t="n">
        <f aca="false">IF(M180&gt;=0.005,0.9,IF(M180&lt;=Datos!$C$25/Datos!$C$28,0.65,0.65+(M180-Datos!$C$25/Datos!$C$28)*0.25/(0.005-Datos!$C$25/Datos!$C$28)))</f>
        <v>0.65</v>
      </c>
      <c r="O180" s="33" t="n">
        <f aca="false">MIN(N180*K180,$J$158)</f>
        <v>0</v>
      </c>
      <c r="P180" s="33" t="n">
        <f aca="false">N180*L180</f>
        <v>0</v>
      </c>
    </row>
    <row r="182" customFormat="false" ht="15" hidden="false" customHeight="false" outlineLevel="0" collapsed="false">
      <c r="B182" s="45" t="s">
        <v>424</v>
      </c>
      <c r="P182" s="39" t="n">
        <f aca="false">IF(Columnas!$H$21="",0,IF(Columnas!$K$11&gt;$J$158,0,IF(Columnas!$K$11&lt;=$O$180,$P$180,IF(INDEX($O$160:$O$180,SUMPRODUCT(--($O$160:$O$180&gt;=Columnas!$K$11)))=INDEX($O$160:$O$180,SUMPRODUCT(--($O$160:$O$180&gt;=Columnas!$K$11))+1),INDEX($P$160:$P$180,SUMPRODUCT(--($O$160:$O$180&gt;=Columnas!$K$11))),INDEX($P$160:$P$180,SUMPRODUCT(--($O$160:$O$180&gt;=Columnas!$K$11)))+(INDEX($P$160:$P$180,SUMPRODUCT(--($O$160:$O$180&gt;=Columnas!$K$11))+1)-INDEX($P$160:$P$180,SUMPRODUCT(--($O$160:$O$180&gt;=Columnas!$K$11))))*(INDEX($O$160:$O$180,SUMPRODUCT(--($O$160:$O$180&gt;=Columnas!$K$11)))-Columnas!$K$11)/(INDEX($O$160:$O$180,SUMPRODUCT(--($O$160:$O$180&gt;=Columnas!$K$11)))-INDEX($O$160:$O$180,SUMPRODUCT(--($O$160:$O$180&gt;=Columnas!$K$11))+1))))))</f>
        <v>0</v>
      </c>
    </row>
    <row r="183" customFormat="false" ht="15" hidden="false" customHeight="false" outlineLevel="0" collapsed="false">
      <c r="B183" s="45" t="s">
        <v>425</v>
      </c>
      <c r="O183" s="33" t="n">
        <f aca="false">Columnas!$L$11</f>
        <v>0</v>
      </c>
      <c r="P183" s="33" t="str">
        <f aca="false">Columnas!$K$11</f>
        <v/>
      </c>
    </row>
  </sheetData>
  <mergeCells count="8">
    <mergeCell ref="A1:Q1"/>
    <mergeCell ref="A2:Q2"/>
    <mergeCell ref="B6:P6"/>
    <mergeCell ref="B36:P36"/>
    <mergeCell ref="B66:P66"/>
    <mergeCell ref="B96:P96"/>
    <mergeCell ref="B126:P126"/>
    <mergeCell ref="B156:P15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N7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0"/>
    <col collapsed="false" customWidth="true" hidden="false" outlineLevel="0" max="3" min="3" style="0" width="14"/>
    <col collapsed="false" customWidth="true" hidden="false" outlineLevel="0" max="14" min="4" style="0" width="13"/>
  </cols>
  <sheetData>
    <row r="1" customFormat="false" ht="27.75" hidden="false" customHeight="true" outlineLevel="0" collapsed="false">
      <c r="A1" s="1" t="s">
        <v>426</v>
      </c>
      <c r="B1" s="1"/>
      <c r="C1" s="1"/>
      <c r="D1" s="1"/>
      <c r="E1" s="1"/>
      <c r="F1" s="1"/>
      <c r="G1" s="1"/>
      <c r="H1" s="1"/>
      <c r="I1" s="1"/>
      <c r="J1" s="1"/>
      <c r="K1" s="1"/>
      <c r="L1" s="1"/>
      <c r="M1" s="1"/>
      <c r="N1" s="1"/>
    </row>
    <row r="2" customFormat="false" ht="30" hidden="false" customHeight="true" outlineLevel="0" collapsed="false">
      <c r="A2" s="2" t="s">
        <v>427</v>
      </c>
      <c r="B2" s="2"/>
      <c r="C2" s="2"/>
      <c r="D2" s="2"/>
      <c r="E2" s="2"/>
      <c r="F2" s="2"/>
      <c r="G2" s="2"/>
      <c r="H2" s="2"/>
      <c r="I2" s="2"/>
      <c r="J2" s="2"/>
      <c r="K2" s="2"/>
      <c r="L2" s="2"/>
      <c r="M2" s="2"/>
      <c r="N2" s="2"/>
    </row>
    <row r="4" customFormat="false" ht="19.5" hidden="false" customHeight="true" outlineLevel="0" collapsed="false">
      <c r="B4" s="3" t="s">
        <v>428</v>
      </c>
      <c r="C4" s="3"/>
      <c r="D4" s="3"/>
      <c r="E4" s="3"/>
      <c r="F4" s="3"/>
      <c r="G4" s="3"/>
      <c r="H4" s="3"/>
      <c r="I4" s="3"/>
      <c r="J4" s="3"/>
      <c r="K4" s="3"/>
      <c r="L4" s="3"/>
      <c r="M4" s="3"/>
      <c r="N4" s="3"/>
    </row>
    <row r="5" customFormat="false" ht="16.5" hidden="false" customHeight="true" outlineLevel="0" collapsed="false">
      <c r="B5" s="19" t="s">
        <v>429</v>
      </c>
      <c r="C5" s="24" t="n">
        <v>4</v>
      </c>
      <c r="D5" s="46"/>
    </row>
    <row r="6" customFormat="false" ht="16.5" hidden="false" customHeight="true" outlineLevel="0" collapsed="false">
      <c r="B6" s="19" t="s">
        <v>430</v>
      </c>
      <c r="C6" s="24" t="n">
        <v>2</v>
      </c>
      <c r="D6" s="46"/>
    </row>
    <row r="7" customFormat="false" ht="16.5" hidden="false" customHeight="true" outlineLevel="0" collapsed="false">
      <c r="B7" s="19" t="s">
        <v>431</v>
      </c>
      <c r="C7" s="24" t="n">
        <v>1</v>
      </c>
      <c r="D7" s="46"/>
    </row>
    <row r="8" customFormat="false" ht="16.5" hidden="false" customHeight="true" outlineLevel="0" collapsed="false">
      <c r="B8" s="19" t="s">
        <v>432</v>
      </c>
      <c r="C8" s="24" t="n">
        <v>1.2</v>
      </c>
      <c r="D8" s="46"/>
    </row>
    <row r="9" customFormat="false" ht="16.5" hidden="false" customHeight="true" outlineLevel="0" collapsed="false">
      <c r="B9" s="19" t="s">
        <v>433</v>
      </c>
      <c r="C9" s="24" t="s">
        <v>434</v>
      </c>
      <c r="D9" s="46"/>
    </row>
    <row r="10" customFormat="false" ht="16.5" hidden="false" customHeight="true" outlineLevel="0" collapsed="false">
      <c r="B10" s="19" t="s">
        <v>435</v>
      </c>
      <c r="C10" s="31" t="n">
        <f aca="false">INDEX('Tablas Sismo'!$H$46:$H$49,MATCH(C9,'Tablas Sismo'!$G$46:$G$49,0))</f>
        <v>1</v>
      </c>
      <c r="D10" s="46"/>
    </row>
    <row r="11" customFormat="false" ht="30" hidden="false" customHeight="true" outlineLevel="0" collapsed="false">
      <c r="B11" s="19" t="s">
        <v>436</v>
      </c>
      <c r="C11" s="47" t="s">
        <v>437</v>
      </c>
      <c r="D11" s="47"/>
      <c r="E11" s="47"/>
      <c r="F11" s="47"/>
      <c r="G11" s="47"/>
      <c r="H11" s="47"/>
    </row>
    <row r="12" customFormat="false" ht="16.5" hidden="false" customHeight="true" outlineLevel="0" collapsed="false">
      <c r="B12" s="19" t="s">
        <v>438</v>
      </c>
      <c r="C12" s="24" t="n">
        <v>0</v>
      </c>
      <c r="D12" s="46"/>
    </row>
    <row r="13" customFormat="false" ht="16.5" hidden="false" customHeight="true" outlineLevel="0" collapsed="false">
      <c r="B13" s="19" t="s">
        <v>439</v>
      </c>
      <c r="C13" s="24" t="n">
        <v>1</v>
      </c>
      <c r="D13" s="46"/>
    </row>
    <row r="14" customFormat="false" ht="16.5" hidden="false" customHeight="true" outlineLevel="0" collapsed="false">
      <c r="B14" s="19" t="s">
        <v>440</v>
      </c>
      <c r="C14" s="31" t="n">
        <f aca="false">IF(LEFT(C11,4)="1 - ",MIN(7,MAX(5/MIN(2,MAX(1,2.5-0.5*C13)),(3*C12+5)/MIN(2,MAX(1,2.5-0.5*C13)))),INDEX('Tablas Sismo'!$C$6:$C$41,MATCH(C11,'Tablas Sismo'!$B$6:$B$41,0)))</f>
        <v>3</v>
      </c>
      <c r="D14" s="46"/>
    </row>
    <row r="15" customFormat="false" ht="16.5" hidden="false" customHeight="true" outlineLevel="0" collapsed="false">
      <c r="B15" s="19" t="s">
        <v>441</v>
      </c>
      <c r="C15" s="31" t="n">
        <f aca="false">INDEX('Tablas Sismo'!$D$6:$D$41,MATCH(C11,'Tablas Sismo'!$B$6:$B$41,0))</f>
        <v>2.3</v>
      </c>
      <c r="D15" s="46"/>
    </row>
    <row r="16" customFormat="false" ht="16.5" hidden="false" customHeight="true" outlineLevel="0" collapsed="false">
      <c r="B16" s="19" t="s">
        <v>442</v>
      </c>
      <c r="C16" s="31" t="n">
        <f aca="false">INDEX('Tablas Sismo'!$E$6:$E$41,MATCH(C11,'Tablas Sismo'!$B$6:$B$41,0))</f>
        <v>2.5</v>
      </c>
      <c r="D16" s="46"/>
    </row>
    <row r="17" customFormat="false" ht="16.5" hidden="false" customHeight="true" outlineLevel="0" collapsed="false">
      <c r="B17" s="19" t="s">
        <v>443</v>
      </c>
      <c r="C17" s="24" t="n">
        <v>2.9</v>
      </c>
      <c r="D17" s="46" t="s">
        <v>145</v>
      </c>
    </row>
    <row r="18" customFormat="false" ht="30" hidden="false" customHeight="true" outlineLevel="0" collapsed="false">
      <c r="B18" s="19" t="s">
        <v>444</v>
      </c>
      <c r="C18" s="47" t="s">
        <v>445</v>
      </c>
      <c r="D18" s="47"/>
      <c r="E18" s="47"/>
      <c r="F18" s="47"/>
      <c r="G18" s="47"/>
      <c r="H18" s="47"/>
    </row>
    <row r="19" customFormat="false" ht="16.5" hidden="false" customHeight="true" outlineLevel="0" collapsed="false">
      <c r="B19" s="19" t="s">
        <v>446</v>
      </c>
      <c r="C19" s="24"/>
      <c r="D19" s="46" t="s">
        <v>447</v>
      </c>
    </row>
    <row r="20" customFormat="false" ht="19.5" hidden="false" customHeight="true" outlineLevel="0" collapsed="false">
      <c r="B20" s="2" t="s">
        <v>448</v>
      </c>
      <c r="C20" s="2"/>
      <c r="D20" s="2"/>
      <c r="E20" s="2"/>
      <c r="F20" s="2"/>
      <c r="G20" s="2"/>
      <c r="H20" s="2"/>
      <c r="I20" s="2"/>
      <c r="J20" s="2"/>
      <c r="K20" s="2"/>
      <c r="L20" s="2"/>
      <c r="M20" s="2"/>
      <c r="N20" s="2"/>
    </row>
    <row r="22" customFormat="false" ht="19.5" hidden="false" customHeight="true" outlineLevel="0" collapsed="false">
      <c r="B22" s="3" t="s">
        <v>449</v>
      </c>
      <c r="C22" s="3"/>
      <c r="D22" s="3"/>
      <c r="E22" s="3"/>
      <c r="F22" s="3"/>
      <c r="G22" s="3"/>
      <c r="H22" s="3"/>
      <c r="I22" s="3"/>
      <c r="J22" s="3"/>
      <c r="K22" s="3"/>
      <c r="L22" s="3"/>
      <c r="M22" s="3"/>
      <c r="N22" s="3"/>
    </row>
    <row r="23" customFormat="false" ht="15" hidden="false" customHeight="false" outlineLevel="0" collapsed="false">
      <c r="B23" s="19" t="s">
        <v>450</v>
      </c>
      <c r="C23" s="44" t="n">
        <f aca="false">INDEX('Tablas Sismo'!$H$6:$H$9,MATCH('Sismo 1 Accion'!$C$5,'Tablas Sismo'!$G$6:$G$9,0))</f>
        <v>0.35</v>
      </c>
    </row>
    <row r="24" customFormat="false" ht="15" hidden="false" customHeight="false" outlineLevel="0" collapsed="false">
      <c r="B24" s="19" t="s">
        <v>451</v>
      </c>
      <c r="C24" s="44" t="n">
        <f aca="false">INDEX('Tablas Sismo'!$J$14:$J$25,MATCH('Sismo 1 Accion'!$C$5*10+'Sismo 1 Accion'!$C$6,'Tablas Sismo'!$I$14:$I$25,0))*IF('Sismo 1 Accion'!$C$5&gt;=3,'Sismo 1 Accion'!$C$7,1)</f>
        <v>0.4</v>
      </c>
    </row>
    <row r="25" customFormat="false" ht="15" hidden="false" customHeight="false" outlineLevel="0" collapsed="false">
      <c r="B25" s="19" t="s">
        <v>452</v>
      </c>
      <c r="C25" s="44" t="n">
        <f aca="false">INDEX('Tablas Sismo'!$K$14:$K$25,MATCH('Sismo 1 Accion'!$C$5*10+'Sismo 1 Accion'!$C$6,'Tablas Sismo'!$I$14:$I$25,0))*IF('Sismo 1 Accion'!$C$5&gt;=3,'Sismo 1 Accion'!$C$8,1)</f>
        <v>0.708</v>
      </c>
    </row>
    <row r="26" customFormat="false" ht="15" hidden="false" customHeight="false" outlineLevel="0" collapsed="false">
      <c r="B26" s="19" t="s">
        <v>453</v>
      </c>
      <c r="C26" s="22" t="n">
        <f aca="false">INDEX('Tablas Sismo'!$I$6:$I$9,MATCH('Sismo 1 Accion'!$C$5,'Tablas Sismo'!$G$6:$G$9,0))</f>
        <v>13</v>
      </c>
    </row>
    <row r="27" customFormat="false" ht="16.5" hidden="false" customHeight="true" outlineLevel="0" collapsed="false">
      <c r="B27" s="19" t="s">
        <v>454</v>
      </c>
      <c r="C27" s="22" t="n">
        <f aca="false">C25/(2.5*C24)</f>
        <v>0.708</v>
      </c>
      <c r="D27" s="46" t="s">
        <v>447</v>
      </c>
    </row>
    <row r="28" customFormat="false" ht="15" hidden="false" customHeight="false" outlineLevel="0" collapsed="false">
      <c r="B28" s="19" t="s">
        <v>455</v>
      </c>
      <c r="C28" s="22" t="n">
        <f aca="false">0.2*C27</f>
        <v>0.1416</v>
      </c>
    </row>
    <row r="29" customFormat="false" ht="15" hidden="false" customHeight="false" outlineLevel="0" collapsed="false">
      <c r="B29" s="19" t="s">
        <v>456</v>
      </c>
      <c r="C29" s="22" t="n">
        <f aca="false">INDEX('Tablas Sismo'!$H$30:$H$33,MATCH('Sismo 1 Accion'!$C$5,'Tablas Sismo'!$G$30:$G$33,0))</f>
        <v>1.4</v>
      </c>
    </row>
    <row r="30" customFormat="false" ht="15" hidden="false" customHeight="false" outlineLevel="0" collapsed="false">
      <c r="B30" s="19" t="s">
        <v>457</v>
      </c>
      <c r="C30" s="22" t="n">
        <f aca="false">INDEX('Tablas Sismo'!$H$38:$H$41,MATCH(C18,'Tablas Sismo'!$G$38:$G$41,0))</f>
        <v>0.0488</v>
      </c>
    </row>
    <row r="31" customFormat="false" ht="15" hidden="false" customHeight="false" outlineLevel="0" collapsed="false">
      <c r="B31" s="19" t="s">
        <v>458</v>
      </c>
      <c r="C31" s="22" t="n">
        <f aca="false">INDEX('Tablas Sismo'!$I$38:$I$41,MATCH(C18,'Tablas Sismo'!$G$38:$G$41,0))</f>
        <v>0.75</v>
      </c>
    </row>
    <row r="32" customFormat="false" ht="15" hidden="false" customHeight="false" outlineLevel="0" collapsed="false">
      <c r="B32" s="19" t="s">
        <v>459</v>
      </c>
      <c r="C32" s="22" t="n">
        <f aca="false">C30*'Sismo 1 Accion'!$C$17^C31</f>
        <v>0.108447194253742</v>
      </c>
    </row>
    <row r="33" customFormat="false" ht="16.5" hidden="false" customHeight="true" outlineLevel="0" collapsed="false">
      <c r="B33" s="19" t="s">
        <v>460</v>
      </c>
      <c r="C33" s="22" t="n">
        <f aca="false">IF(N(C19)&gt;0,MIN(C19,C29*C32),C32)</f>
        <v>0.108447194253742</v>
      </c>
      <c r="D33" s="46" t="s">
        <v>447</v>
      </c>
    </row>
    <row r="34" customFormat="false" ht="15" hidden="false" customHeight="false" outlineLevel="0" collapsed="false">
      <c r="B34" s="19" t="s">
        <v>461</v>
      </c>
      <c r="C34" s="44" t="n">
        <f aca="false">IF(C33&lt;=C28,C24*(1+1.5*C33/C28),IF(C33&lt;=C27,2.5*C24,IF(C33&lt;=C26,C25/C33,C25*C26/C33^2)))</f>
        <v>0.859522009549754</v>
      </c>
    </row>
    <row r="35" customFormat="false" ht="15" hidden="false" customHeight="false" outlineLevel="0" collapsed="false">
      <c r="B35" s="19" t="s">
        <v>462</v>
      </c>
      <c r="C35" s="44" t="n">
        <f aca="false">IF(C33&lt;=C27,2.5*C24*C10/C14,C34*C10/C14)</f>
        <v>0.333333333333333</v>
      </c>
    </row>
    <row r="36" customFormat="false" ht="15" hidden="false" customHeight="false" outlineLevel="0" collapsed="false">
      <c r="B36" s="19" t="s">
        <v>463</v>
      </c>
      <c r="C36" s="44" t="n">
        <f aca="false">IF('Sismo 1 Accion'!$C$5&gt;=3,0.8*C23*'Sismo 1 Accion'!$C$8*C10/C14,0.11*C24*C10)</f>
        <v>0.112</v>
      </c>
    </row>
    <row r="37" customFormat="false" ht="15" hidden="false" customHeight="false" outlineLevel="0" collapsed="false">
      <c r="B37" s="17" t="s">
        <v>464</v>
      </c>
      <c r="C37" s="48" t="n">
        <f aca="false">MAX(C35,C36)</f>
        <v>0.333333333333333</v>
      </c>
    </row>
    <row r="38" customFormat="false" ht="15" hidden="false" customHeight="false" outlineLevel="0" collapsed="false">
      <c r="B38" s="19" t="s">
        <v>465</v>
      </c>
      <c r="C38" s="44" t="n">
        <f aca="false">0.5*C24*C10</f>
        <v>0.2</v>
      </c>
    </row>
    <row r="39" customFormat="false" ht="15" hidden="false" customHeight="false" outlineLevel="0" collapsed="false">
      <c r="B39" s="19" t="s">
        <v>466</v>
      </c>
      <c r="C39" s="6" t="str">
        <f aca="false">IF(C33&lt;=C27,"T ≤ T2: meseta del espectro","T &gt; T2: rama descendente")</f>
        <v>T ≤ T2: meseta del espectro</v>
      </c>
      <c r="D39" s="6"/>
      <c r="E39" s="6"/>
      <c r="F39" s="6"/>
    </row>
    <row r="40" customFormat="false" ht="30" hidden="false" customHeight="true" outlineLevel="0" collapsed="false">
      <c r="B40" s="2" t="s">
        <v>467</v>
      </c>
      <c r="C40" s="2"/>
      <c r="D40" s="2"/>
      <c r="E40" s="2"/>
      <c r="F40" s="2"/>
      <c r="G40" s="2"/>
      <c r="H40" s="2"/>
      <c r="I40" s="2"/>
      <c r="J40" s="2"/>
      <c r="K40" s="2"/>
      <c r="L40" s="2"/>
      <c r="M40" s="2"/>
      <c r="N40" s="2"/>
    </row>
    <row r="42" customFormat="false" ht="19.5" hidden="false" customHeight="true" outlineLevel="0" collapsed="false">
      <c r="B42" s="3" t="s">
        <v>468</v>
      </c>
      <c r="C42" s="3"/>
      <c r="D42" s="3"/>
      <c r="E42" s="3"/>
      <c r="F42" s="3"/>
      <c r="G42" s="3"/>
      <c r="H42" s="3"/>
      <c r="I42" s="3"/>
      <c r="J42" s="3"/>
      <c r="K42" s="3"/>
      <c r="L42" s="3"/>
      <c r="M42" s="3"/>
      <c r="N42" s="3"/>
    </row>
    <row r="43" customFormat="false" ht="55.5" hidden="false" customHeight="true" outlineLevel="0" collapsed="false">
      <c r="B43" s="11" t="s">
        <v>246</v>
      </c>
      <c r="C43" s="11" t="s">
        <v>469</v>
      </c>
      <c r="D43" s="11" t="s">
        <v>470</v>
      </c>
      <c r="E43" s="11" t="s">
        <v>471</v>
      </c>
      <c r="F43" s="11" t="s">
        <v>472</v>
      </c>
      <c r="G43" s="11" t="s">
        <v>473</v>
      </c>
      <c r="H43" s="11" t="s">
        <v>250</v>
      </c>
      <c r="I43" s="11" t="s">
        <v>192</v>
      </c>
      <c r="J43" s="11" t="s">
        <v>474</v>
      </c>
      <c r="K43" s="11" t="s">
        <v>475</v>
      </c>
      <c r="L43" s="11" t="s">
        <v>476</v>
      </c>
      <c r="M43" s="11" t="s">
        <v>477</v>
      </c>
      <c r="N43" s="11" t="s">
        <v>478</v>
      </c>
    </row>
    <row r="44" customFormat="false" ht="43.5" hidden="false" customHeight="true" outlineLevel="0" collapsed="false">
      <c r="B44" s="5" t="s">
        <v>479</v>
      </c>
      <c r="C44" s="32" t="n">
        <v>2.9</v>
      </c>
      <c r="D44" s="34" t="n">
        <v>92</v>
      </c>
      <c r="E44" s="24" t="s">
        <v>258</v>
      </c>
      <c r="F44" s="29" t="n">
        <v>15</v>
      </c>
      <c r="G44" s="47" t="s">
        <v>480</v>
      </c>
      <c r="H44" s="22" t="n">
        <f aca="false">IF(N(D44)=0,0,IF(E44="TECHO",Cargas!$I$16,Cargas!$I$28)+Datos!$C$17*N(F44)/100)</f>
        <v>5.89</v>
      </c>
      <c r="I44" s="22" t="n">
        <f aca="false">IF(N(D44)=0,0,IF(E44="TECHO",Cargas!$I$34+Cargas!$I$32,Cargas!$I$33+Cargas!$I$35))</f>
        <v>1</v>
      </c>
      <c r="J44" s="22" t="n">
        <f aca="false">IFERROR(INDEX('Tablas Sismo'!$H$54:$H$57,MATCH(G44,'Tablas Sismo'!$G$54:$G$57,0)),0)</f>
        <v>0</v>
      </c>
      <c r="K44" s="33" t="n">
        <f aca="false">N(D44)*(H44+J44*I44)</f>
        <v>541.88</v>
      </c>
      <c r="L44" s="33" t="n">
        <f aca="false">0.5*SUMIF($C$54:$C$61,1,$H$54:$H$61)+0.5*SUMIF($C$54:$C$61,2,$H$54:$H$61)</f>
        <v>171.054</v>
      </c>
      <c r="M44" s="34" t="n">
        <v>20</v>
      </c>
      <c r="N44" s="39" t="n">
        <f aca="false">K44+L44+N(M44)</f>
        <v>732.934</v>
      </c>
    </row>
    <row r="45" customFormat="false" ht="43.5" hidden="false" customHeight="true" outlineLevel="0" collapsed="false">
      <c r="B45" s="5" t="s">
        <v>481</v>
      </c>
      <c r="C45" s="32"/>
      <c r="D45" s="34"/>
      <c r="E45" s="24"/>
      <c r="F45" s="29"/>
      <c r="G45" s="47"/>
      <c r="H45" s="22" t="n">
        <f aca="false">IF(N(D45)=0,0,IF(E45="TECHO",Cargas!$I$16,Cargas!$I$28)+Datos!$C$17*N(F45)/100)</f>
        <v>0</v>
      </c>
      <c r="I45" s="22" t="n">
        <f aca="false">IF(N(D45)=0,0,IF(E45="TECHO",Cargas!$I$34+Cargas!$I$32,Cargas!$I$33+Cargas!$I$35))</f>
        <v>0</v>
      </c>
      <c r="J45" s="22" t="n">
        <f aca="false">IFERROR(INDEX('Tablas Sismo'!$H$54:$H$57,MATCH(G45,'Tablas Sismo'!$G$54:$G$57,0)),0)</f>
        <v>0</v>
      </c>
      <c r="K45" s="33" t="n">
        <f aca="false">N(D45)*(H45+J45*I45)</f>
        <v>0</v>
      </c>
      <c r="L45" s="33" t="n">
        <f aca="false">0.5*SUMIF($C$54:$C$61,2,$H$54:$H$61)+0.5*SUMIF($C$54:$C$61,3,$H$54:$H$61)</f>
        <v>0</v>
      </c>
      <c r="M45" s="34"/>
      <c r="N45" s="39" t="n">
        <f aca="false">K45+L45+N(M45)</f>
        <v>0</v>
      </c>
    </row>
    <row r="46" customFormat="false" ht="43.5" hidden="false" customHeight="true" outlineLevel="0" collapsed="false">
      <c r="B46" s="5" t="s">
        <v>482</v>
      </c>
      <c r="C46" s="32"/>
      <c r="D46" s="34"/>
      <c r="E46" s="24"/>
      <c r="F46" s="29"/>
      <c r="G46" s="47"/>
      <c r="H46" s="22" t="n">
        <f aca="false">IF(N(D46)=0,0,IF(E46="TECHO",Cargas!$I$16,Cargas!$I$28)+Datos!$C$17*N(F46)/100)</f>
        <v>0</v>
      </c>
      <c r="I46" s="22" t="n">
        <f aca="false">IF(N(D46)=0,0,IF(E46="TECHO",Cargas!$I$34+Cargas!$I$32,Cargas!$I$33+Cargas!$I$35))</f>
        <v>0</v>
      </c>
      <c r="J46" s="22" t="n">
        <f aca="false">IFERROR(INDEX('Tablas Sismo'!$H$54:$H$57,MATCH(G46,'Tablas Sismo'!$G$54:$G$57,0)),0)</f>
        <v>0</v>
      </c>
      <c r="K46" s="33" t="n">
        <f aca="false">N(D46)*(H46+J46*I46)</f>
        <v>0</v>
      </c>
      <c r="L46" s="33" t="n">
        <f aca="false">0.5*SUMIF($C$54:$C$61,3,$H$54:$H$61)+0.5*SUMIF($C$54:$C$61,4,$H$54:$H$61)</f>
        <v>0</v>
      </c>
      <c r="M46" s="34"/>
      <c r="N46" s="39" t="n">
        <f aca="false">K46+L46+N(M46)</f>
        <v>0</v>
      </c>
    </row>
    <row r="47" customFormat="false" ht="27.75" hidden="false" customHeight="true" outlineLevel="0" collapsed="false">
      <c r="B47" s="2" t="s">
        <v>483</v>
      </c>
      <c r="C47" s="2"/>
      <c r="D47" s="2"/>
      <c r="E47" s="2"/>
      <c r="F47" s="2"/>
      <c r="G47" s="2"/>
      <c r="H47" s="2"/>
      <c r="I47" s="2"/>
      <c r="J47" s="2"/>
      <c r="K47" s="2"/>
      <c r="L47" s="2"/>
      <c r="M47" s="2"/>
      <c r="N47" s="2"/>
    </row>
    <row r="51" customFormat="false" ht="19.5" hidden="false" customHeight="true" outlineLevel="0" collapsed="false">
      <c r="B51" s="3" t="s">
        <v>484</v>
      </c>
      <c r="C51" s="3"/>
      <c r="D51" s="3"/>
      <c r="E51" s="3"/>
      <c r="F51" s="3"/>
      <c r="G51" s="3"/>
      <c r="H51" s="3"/>
    </row>
    <row r="52" customFormat="false" ht="31.5" hidden="false" customHeight="true" outlineLevel="0" collapsed="false">
      <c r="B52" s="11" t="s">
        <v>485</v>
      </c>
      <c r="C52" s="11" t="s">
        <v>486</v>
      </c>
      <c r="D52" s="11" t="s">
        <v>487</v>
      </c>
      <c r="E52" s="11" t="s">
        <v>488</v>
      </c>
      <c r="F52" s="11" t="s">
        <v>489</v>
      </c>
      <c r="G52" s="11" t="s">
        <v>170</v>
      </c>
      <c r="H52" s="11" t="s">
        <v>490</v>
      </c>
    </row>
    <row r="53" customFormat="false" ht="16.5" hidden="false" customHeight="true" outlineLevel="0" collapsed="false">
      <c r="B53" s="37" t="s">
        <v>491</v>
      </c>
    </row>
    <row r="54" customFormat="false" ht="16.5" hidden="false" customHeight="true" outlineLevel="0" collapsed="false">
      <c r="B54" s="5" t="s">
        <v>492</v>
      </c>
      <c r="C54" s="29" t="n">
        <v>1</v>
      </c>
      <c r="D54" s="34" t="n">
        <v>43</v>
      </c>
      <c r="E54" s="28" t="n">
        <v>0.18</v>
      </c>
      <c r="F54" s="32" t="n">
        <v>2.6</v>
      </c>
      <c r="G54" s="41" t="n">
        <f aca="false">Datos!$C$35</f>
        <v>17</v>
      </c>
      <c r="H54" s="39" t="n">
        <f aca="false">N(D54)*N(E54)*N(F54)*G54</f>
        <v>342.108</v>
      </c>
    </row>
    <row r="55" customFormat="false" ht="15" hidden="false" customHeight="false" outlineLevel="0" collapsed="false">
      <c r="B55" s="5"/>
      <c r="C55" s="29"/>
      <c r="D55" s="34"/>
      <c r="E55" s="28"/>
      <c r="F55" s="32"/>
      <c r="G55" s="41" t="n">
        <f aca="false">Datos!$C$35</f>
        <v>17</v>
      </c>
      <c r="H55" s="39" t="n">
        <f aca="false">N(D55)*N(E55)*N(F55)*G55</f>
        <v>0</v>
      </c>
    </row>
    <row r="56" customFormat="false" ht="15" hidden="false" customHeight="false" outlineLevel="0" collapsed="false">
      <c r="B56" s="5"/>
      <c r="C56" s="29"/>
      <c r="D56" s="34"/>
      <c r="E56" s="28"/>
      <c r="F56" s="32"/>
      <c r="G56" s="41" t="n">
        <f aca="false">Datos!$C$35</f>
        <v>17</v>
      </c>
      <c r="H56" s="39" t="n">
        <f aca="false">N(D56)*N(E56)*N(F56)*G56</f>
        <v>0</v>
      </c>
    </row>
    <row r="57" customFormat="false" ht="15" hidden="false" customHeight="false" outlineLevel="0" collapsed="false">
      <c r="B57" s="5"/>
      <c r="C57" s="29"/>
      <c r="D57" s="34"/>
      <c r="E57" s="28"/>
      <c r="F57" s="32"/>
      <c r="G57" s="41" t="n">
        <f aca="false">Datos!$C$35</f>
        <v>17</v>
      </c>
      <c r="H57" s="39" t="n">
        <f aca="false">N(D57)*N(E57)*N(F57)*G57</f>
        <v>0</v>
      </c>
    </row>
    <row r="58" customFormat="false" ht="15" hidden="false" customHeight="false" outlineLevel="0" collapsed="false">
      <c r="B58" s="5"/>
      <c r="C58" s="29"/>
      <c r="D58" s="34"/>
      <c r="E58" s="28"/>
      <c r="F58" s="32"/>
      <c r="G58" s="41" t="n">
        <f aca="false">Datos!$C$35</f>
        <v>17</v>
      </c>
      <c r="H58" s="39" t="n">
        <f aca="false">N(D58)*N(E58)*N(F58)*G58</f>
        <v>0</v>
      </c>
    </row>
    <row r="59" customFormat="false" ht="15" hidden="false" customHeight="false" outlineLevel="0" collapsed="false">
      <c r="B59" s="5"/>
      <c r="C59" s="29"/>
      <c r="D59" s="34"/>
      <c r="E59" s="28"/>
      <c r="F59" s="32"/>
      <c r="G59" s="41" t="n">
        <f aca="false">Datos!$C$35</f>
        <v>17</v>
      </c>
      <c r="H59" s="39" t="n">
        <f aca="false">N(D59)*N(E59)*N(F59)*G59</f>
        <v>0</v>
      </c>
    </row>
    <row r="60" customFormat="false" ht="15" hidden="false" customHeight="false" outlineLevel="0" collapsed="false">
      <c r="B60" s="5"/>
      <c r="C60" s="29"/>
      <c r="D60" s="34"/>
      <c r="E60" s="28"/>
      <c r="F60" s="32"/>
      <c r="G60" s="41" t="n">
        <f aca="false">Datos!$C$35</f>
        <v>17</v>
      </c>
      <c r="H60" s="39" t="n">
        <f aca="false">N(D60)*N(E60)*N(F60)*G60</f>
        <v>0</v>
      </c>
    </row>
    <row r="61" customFormat="false" ht="15" hidden="false" customHeight="false" outlineLevel="0" collapsed="false">
      <c r="B61" s="5"/>
      <c r="C61" s="29"/>
      <c r="D61" s="34"/>
      <c r="E61" s="28"/>
      <c r="F61" s="32"/>
      <c r="G61" s="41" t="n">
        <f aca="false">Datos!$C$35</f>
        <v>17</v>
      </c>
      <c r="H61" s="39" t="n">
        <f aca="false">N(D61)*N(E61)*N(F61)*G61</f>
        <v>0</v>
      </c>
    </row>
    <row r="63" customFormat="false" ht="19.5" hidden="false" customHeight="true" outlineLevel="0" collapsed="false">
      <c r="B63" s="3" t="s">
        <v>493</v>
      </c>
      <c r="C63" s="3"/>
      <c r="D63" s="3"/>
      <c r="E63" s="3"/>
      <c r="F63" s="3"/>
      <c r="G63" s="3"/>
      <c r="H63" s="3"/>
      <c r="I63" s="3"/>
      <c r="J63" s="3"/>
      <c r="K63" s="3"/>
      <c r="L63" s="3"/>
      <c r="M63" s="3"/>
      <c r="N63" s="3"/>
    </row>
    <row r="64" customFormat="false" ht="15" hidden="false" customHeight="false" outlineLevel="0" collapsed="false">
      <c r="B64" s="19" t="s">
        <v>494</v>
      </c>
      <c r="C64" s="39" t="n">
        <f aca="false">SUM(N44:N46)</f>
        <v>732.934</v>
      </c>
    </row>
    <row r="65" customFormat="false" ht="15" hidden="false" customHeight="false" outlineLevel="0" collapsed="false">
      <c r="B65" s="17" t="s">
        <v>495</v>
      </c>
      <c r="C65" s="39" t="n">
        <f aca="false">'Sismo 1 Accion'!$C$37*'Sismo 1 Accion'!$C$64</f>
        <v>244.311333333333</v>
      </c>
    </row>
    <row r="66" customFormat="false" ht="15" hidden="false" customHeight="false" outlineLevel="0" collapsed="false">
      <c r="B66" s="19" t="s">
        <v>496</v>
      </c>
      <c r="C66" s="30" t="n">
        <f aca="false">IF('Sismo 1 Accion'!$C$64=0,0,'Sismo 1 Accion'!$C$65/'Sismo 1 Accion'!$C$64)</f>
        <v>0.333333333333333</v>
      </c>
    </row>
    <row r="68" customFormat="false" ht="31.5" hidden="false" customHeight="true" outlineLevel="0" collapsed="false">
      <c r="B68" s="11" t="s">
        <v>246</v>
      </c>
      <c r="C68" s="11" t="s">
        <v>497</v>
      </c>
      <c r="D68" s="11" t="s">
        <v>498</v>
      </c>
      <c r="E68" s="11" t="s">
        <v>499</v>
      </c>
      <c r="F68" s="11" t="s">
        <v>500</v>
      </c>
      <c r="G68" s="11" t="s">
        <v>501</v>
      </c>
    </row>
    <row r="69" customFormat="false" ht="15" hidden="false" customHeight="false" outlineLevel="0" collapsed="false">
      <c r="B69" s="6" t="str">
        <f aca="false">B44</f>
        <v>Nivel 1 (techo en vivienda de 1 planta)</v>
      </c>
      <c r="C69" s="22" t="n">
        <f aca="false">N(C44)</f>
        <v>2.9</v>
      </c>
      <c r="D69" s="33" t="n">
        <f aca="false">N44</f>
        <v>732.934</v>
      </c>
      <c r="E69" s="33" t="n">
        <f aca="false">C69*D69</f>
        <v>2125.5086</v>
      </c>
      <c r="F69" s="39" t="n">
        <f aca="false">IF(SUM($E$69:$E$71)=0,0,IF('Sismo 1 Accion'!$C$33&lt;=2*'Sismo 1 Accion'!$C$27,'Sismo 1 Accion'!$C$65*E69/SUM($E$69:$E$71),0.9*'Sismo 1 Accion'!$C$65*E69/SUM($E$69:$E$71)+IF(C69=MAX($C$69:$C$71),0.1*'Sismo 1 Accion'!$C$65,0)))</f>
        <v>244.311333333333</v>
      </c>
      <c r="G69" s="33" t="n">
        <f aca="false">SUM(F69:$F$71)</f>
        <v>244.311333333333</v>
      </c>
    </row>
    <row r="70" customFormat="false" ht="15" hidden="false" customHeight="false" outlineLevel="0" collapsed="false">
      <c r="B70" s="6" t="str">
        <f aca="false">B45</f>
        <v>Nivel 2</v>
      </c>
      <c r="C70" s="22" t="n">
        <f aca="false">N(C45)</f>
        <v>0</v>
      </c>
      <c r="D70" s="33" t="n">
        <f aca="false">N45</f>
        <v>0</v>
      </c>
      <c r="E70" s="33" t="n">
        <f aca="false">C70*D70</f>
        <v>0</v>
      </c>
      <c r="F70" s="39" t="n">
        <f aca="false">IF(SUM($E$69:$E$71)=0,0,IF('Sismo 1 Accion'!$C$33&lt;=2*'Sismo 1 Accion'!$C$27,'Sismo 1 Accion'!$C$65*E70/SUM($E$69:$E$71),0.9*'Sismo 1 Accion'!$C$65*E70/SUM($E$69:$E$71)+IF(C70=MAX($C$69:$C$71),0.1*'Sismo 1 Accion'!$C$65,0)))</f>
        <v>0</v>
      </c>
      <c r="G70" s="33" t="n">
        <f aca="false">SUM(F70:$F$71)</f>
        <v>0</v>
      </c>
    </row>
    <row r="71" customFormat="false" ht="15" hidden="false" customHeight="false" outlineLevel="0" collapsed="false">
      <c r="B71" s="6" t="str">
        <f aca="false">B46</f>
        <v>Nivel 3</v>
      </c>
      <c r="C71" s="22" t="n">
        <f aca="false">N(C46)</f>
        <v>0</v>
      </c>
      <c r="D71" s="33" t="n">
        <f aca="false">N46</f>
        <v>0</v>
      </c>
      <c r="E71" s="33" t="n">
        <f aca="false">C71*D71</f>
        <v>0</v>
      </c>
      <c r="F71" s="39" t="n">
        <f aca="false">IF(SUM($E$69:$E$71)=0,0,IF('Sismo 1 Accion'!$C$33&lt;=2*'Sismo 1 Accion'!$C$27,'Sismo 1 Accion'!$C$65*E71/SUM($E$69:$E$71),0.9*'Sismo 1 Accion'!$C$65*E71/SUM($E$69:$E$71)+IF(C71=MAX($C$69:$C$71),0.1*'Sismo 1 Accion'!$C$65,0)))</f>
        <v>0</v>
      </c>
      <c r="G71" s="33" t="n">
        <f aca="false">SUM(F71:$F$71)</f>
        <v>0</v>
      </c>
    </row>
    <row r="72" customFormat="false" ht="15" hidden="false" customHeight="false" outlineLevel="0" collapsed="false">
      <c r="B72" s="17" t="s">
        <v>502</v>
      </c>
      <c r="D72" s="33" t="n">
        <f aca="false">SUM(D69:D71)</f>
        <v>732.934</v>
      </c>
      <c r="F72" s="39" t="n">
        <f aca="false">SUM(F69:F71)</f>
        <v>244.311333333333</v>
      </c>
    </row>
    <row r="74" customFormat="false" ht="15" hidden="false" customHeight="false" outlineLevel="0" collapsed="false">
      <c r="B74" s="17" t="s">
        <v>503</v>
      </c>
      <c r="C74" s="29" t="n">
        <v>1</v>
      </c>
    </row>
    <row r="75" customFormat="false" ht="15" hidden="false" customHeight="false" outlineLevel="0" collapsed="false">
      <c r="B75" s="17" t="s">
        <v>504</v>
      </c>
      <c r="C75" s="39" t="n">
        <f aca="false">INDEX(F69:F71,C74)</f>
        <v>244.311333333333</v>
      </c>
    </row>
    <row r="76" customFormat="false" ht="39.75" hidden="false" customHeight="true" outlineLevel="0" collapsed="false">
      <c r="B76" s="2" t="s">
        <v>505</v>
      </c>
      <c r="C76" s="2"/>
      <c r="D76" s="2"/>
      <c r="E76" s="2"/>
      <c r="F76" s="2"/>
      <c r="G76" s="2"/>
      <c r="H76" s="2"/>
      <c r="I76" s="2"/>
      <c r="J76" s="2"/>
      <c r="K76" s="2"/>
      <c r="L76" s="2"/>
      <c r="M76" s="2"/>
      <c r="N76" s="2"/>
    </row>
  </sheetData>
  <mergeCells count="14">
    <mergeCell ref="A1:N1"/>
    <mergeCell ref="A2:N2"/>
    <mergeCell ref="B4:N4"/>
    <mergeCell ref="C11:H11"/>
    <mergeCell ref="C18:H18"/>
    <mergeCell ref="B20:N20"/>
    <mergeCell ref="B22:N22"/>
    <mergeCell ref="C39:F39"/>
    <mergeCell ref="B40:N40"/>
    <mergeCell ref="B42:N42"/>
    <mergeCell ref="B47:N47"/>
    <mergeCell ref="B51:H51"/>
    <mergeCell ref="B63:N63"/>
    <mergeCell ref="B76:N76"/>
  </mergeCells>
  <dataValidations count="8">
    <dataValidation allowBlank="true" error="Elegí un valor de la lista" errorStyle="stop" errorTitle="Valor no válido" operator="between" showDropDown="false" showErrorMessage="false" showInputMessage="false" sqref="C5" type="list">
      <formula1>"1,2,3,4"</formula1>
      <formula2>0</formula2>
    </dataValidation>
    <dataValidation allowBlank="true" error="Elegí un valor de la lista" errorStyle="stop" errorTitle="Valor no válido" operator="between" showDropDown="false" showErrorMessage="false" showInputMessage="false" sqref="C6" type="list">
      <formula1>"1,2,3"</formula1>
      <formula2>0</formula2>
    </dataValidation>
    <dataValidation allowBlank="true" error="Elegí un valor de la lista" errorStyle="stop" errorTitle="Valor no válido" operator="between" showDropDown="false" showErrorMessage="false" showInputMessage="false" sqref="C9" type="list">
      <formula1>'Tablas Sismo'!$G$46:$G$49</formula1>
      <formula2>0</formula2>
    </dataValidation>
    <dataValidation allowBlank="true" error="Elegí un valor de la lista" errorStyle="stop" errorTitle="Valor no válido" operator="between" showDropDown="false" showErrorMessage="false" showInputMessage="false" sqref="C11" type="list">
      <formula1>'Tablas Sismo'!$B$6:$B$41</formula1>
      <formula2>0</formula2>
    </dataValidation>
    <dataValidation allowBlank="true" error="Elegí un valor de la lista" errorStyle="stop" errorTitle="Valor no válido" operator="between" showDropDown="false" showErrorMessage="false" showInputMessage="false" sqref="C18" type="list">
      <formula1>'Tablas Sismo'!$G$38:$G$41</formula1>
      <formula2>0</formula2>
    </dataValidation>
    <dataValidation allowBlank="true" error="Elegí un valor de la lista" errorStyle="stop" errorTitle="Valor no válido" operator="between" showDropDown="false" showErrorMessage="false" showInputMessage="false" sqref="E44:E46" type="list">
      <formula1>"TECHO,ENTREPISO"</formula1>
      <formula2>0</formula2>
    </dataValidation>
    <dataValidation allowBlank="true" error="Elegí un valor de la lista" errorStyle="stop" errorTitle="Valor no válido" operator="between" showDropDown="false" showErrorMessage="false" showInputMessage="false" sqref="G44:G46" type="list">
      <formula1>'Tablas Sismo'!$G$54:$G$57</formula1>
      <formula2>0</formula2>
    </dataValidation>
    <dataValidation allowBlank="true" error="Elegí un valor de la lista" errorStyle="stop" errorTitle="Valor no válido" operator="between" showDropDown="false" showErrorMessage="false" showInputMessage="false" sqref="C74"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R7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2"/>
    <col collapsed="false" customWidth="true" hidden="false" outlineLevel="0" max="4" min="4" style="0" width="26"/>
    <col collapsed="false" customWidth="true" hidden="false" outlineLevel="0" max="18" min="5" style="0" width="12"/>
  </cols>
  <sheetData>
    <row r="1" customFormat="false" ht="27.75" hidden="false" customHeight="true" outlineLevel="0" collapsed="false">
      <c r="A1" s="1" t="s">
        <v>506</v>
      </c>
      <c r="B1" s="1"/>
      <c r="C1" s="1"/>
      <c r="D1" s="1"/>
      <c r="E1" s="1"/>
      <c r="F1" s="1"/>
      <c r="G1" s="1"/>
      <c r="H1" s="1"/>
      <c r="I1" s="1"/>
      <c r="J1" s="1"/>
      <c r="K1" s="1"/>
      <c r="L1" s="1"/>
      <c r="M1" s="1"/>
      <c r="N1" s="1"/>
      <c r="O1" s="1"/>
      <c r="P1" s="1"/>
      <c r="Q1" s="1"/>
    </row>
    <row r="2" customFormat="false" ht="30" hidden="false" customHeight="true" outlineLevel="0" collapsed="false">
      <c r="A2" s="2" t="s">
        <v>507</v>
      </c>
      <c r="B2" s="2"/>
      <c r="C2" s="2"/>
      <c r="D2" s="2"/>
      <c r="E2" s="2"/>
      <c r="F2" s="2"/>
      <c r="G2" s="2"/>
      <c r="H2" s="2"/>
      <c r="I2" s="2"/>
      <c r="J2" s="2"/>
      <c r="K2" s="2"/>
      <c r="L2" s="2"/>
      <c r="M2" s="2"/>
      <c r="N2" s="2"/>
      <c r="O2" s="2"/>
      <c r="P2" s="2"/>
      <c r="Q2" s="2"/>
    </row>
    <row r="4" customFormat="false" ht="19.5" hidden="false" customHeight="true" outlineLevel="0" collapsed="false">
      <c r="B4" s="3" t="s">
        <v>508</v>
      </c>
      <c r="C4" s="3"/>
      <c r="D4" s="3"/>
      <c r="E4" s="3"/>
      <c r="F4" s="3"/>
      <c r="G4" s="3"/>
      <c r="H4" s="3"/>
      <c r="I4" s="3"/>
      <c r="J4" s="3"/>
    </row>
    <row r="5" customFormat="false" ht="30" hidden="false" customHeight="true" outlineLevel="0" collapsed="false">
      <c r="B5" s="19" t="s">
        <v>509</v>
      </c>
      <c r="C5" s="41" t="n">
        <f aca="false">'Sismo 1 Accion'!$C$75</f>
        <v>244.311333333333</v>
      </c>
      <c r="D5" s="37" t="s">
        <v>510</v>
      </c>
    </row>
    <row r="6" customFormat="false" ht="16.5" hidden="false" customHeight="true" outlineLevel="0" collapsed="false">
      <c r="B6" s="19" t="s">
        <v>511</v>
      </c>
      <c r="C6" s="5" t="s">
        <v>512</v>
      </c>
      <c r="D6" s="5"/>
    </row>
    <row r="7" customFormat="false" ht="15" hidden="false" customHeight="false" outlineLevel="0" collapsed="false">
      <c r="B7" s="19" t="s">
        <v>513</v>
      </c>
      <c r="C7" s="49" t="n">
        <f aca="false">IF(LEFT(C6,4)="Baja",0,IF(LEFT(C6,5)="Media",0.05,0.1))</f>
        <v>0.05</v>
      </c>
    </row>
    <row r="8" customFormat="false" ht="15" hidden="false" customHeight="false" outlineLevel="0" collapsed="false">
      <c r="B8" s="19" t="s">
        <v>514</v>
      </c>
      <c r="C8" s="32" t="n">
        <v>8</v>
      </c>
    </row>
    <row r="9" customFormat="false" ht="15" hidden="false" customHeight="false" outlineLevel="0" collapsed="false">
      <c r="B9" s="19" t="s">
        <v>515</v>
      </c>
      <c r="C9" s="32" t="n">
        <v>12</v>
      </c>
    </row>
    <row r="10" customFormat="false" ht="27.75" hidden="false" customHeight="true" outlineLevel="0" collapsed="false">
      <c r="B10" s="2" t="s">
        <v>516</v>
      </c>
      <c r="C10" s="2"/>
      <c r="D10" s="2"/>
      <c r="E10" s="2"/>
      <c r="F10" s="2"/>
      <c r="G10" s="2"/>
      <c r="H10" s="2"/>
      <c r="I10" s="2"/>
      <c r="J10" s="2"/>
    </row>
    <row r="12" customFormat="false" ht="19.5" hidden="false" customHeight="true" outlineLevel="0" collapsed="false">
      <c r="B12" s="3" t="s">
        <v>517</v>
      </c>
      <c r="C12" s="3"/>
      <c r="D12" s="3"/>
      <c r="E12" s="3"/>
      <c r="F12" s="3"/>
    </row>
    <row r="13" customFormat="false" ht="24" hidden="false" customHeight="true" outlineLevel="0" collapsed="false">
      <c r="B13" s="11" t="s">
        <v>518</v>
      </c>
      <c r="C13" s="11" t="s">
        <v>519</v>
      </c>
      <c r="D13" s="11"/>
      <c r="E13" s="11" t="s">
        <v>520</v>
      </c>
      <c r="F13" s="11" t="s">
        <v>521</v>
      </c>
    </row>
    <row r="14" customFormat="false" ht="16.5" hidden="false" customHeight="true" outlineLevel="0" collapsed="false">
      <c r="B14" s="5" t="s">
        <v>522</v>
      </c>
      <c r="C14" s="32" t="n">
        <v>80</v>
      </c>
      <c r="D14" s="37"/>
      <c r="E14" s="32" t="n">
        <v>4</v>
      </c>
      <c r="F14" s="32" t="n">
        <v>5</v>
      </c>
    </row>
    <row r="15" customFormat="false" ht="16.5" hidden="false" customHeight="true" outlineLevel="0" collapsed="false">
      <c r="B15" s="5" t="s">
        <v>523</v>
      </c>
      <c r="C15" s="32" t="n">
        <v>16</v>
      </c>
      <c r="D15" s="37"/>
      <c r="E15" s="32" t="n">
        <v>4</v>
      </c>
      <c r="F15" s="32" t="n">
        <v>11</v>
      </c>
    </row>
    <row r="16" customFormat="false" ht="16.5" hidden="false" customHeight="true" outlineLevel="0" collapsed="false">
      <c r="B16" s="5"/>
      <c r="C16" s="32"/>
      <c r="D16" s="37"/>
      <c r="E16" s="32"/>
      <c r="F16" s="32"/>
    </row>
    <row r="17" customFormat="false" ht="16.5" hidden="false" customHeight="true" outlineLevel="0" collapsed="false">
      <c r="B17" s="5"/>
      <c r="C17" s="32"/>
      <c r="D17" s="37"/>
      <c r="E17" s="32"/>
      <c r="F17" s="32"/>
    </row>
    <row r="18" customFormat="false" ht="16.5" hidden="false" customHeight="true" outlineLevel="0" collapsed="false">
      <c r="B18" s="5"/>
      <c r="C18" s="32"/>
      <c r="D18" s="37"/>
      <c r="E18" s="32"/>
      <c r="F18" s="32"/>
    </row>
    <row r="19" customFormat="false" ht="16.5" hidden="false" customHeight="true" outlineLevel="0" collapsed="false">
      <c r="B19" s="5"/>
      <c r="C19" s="32"/>
      <c r="D19" s="37"/>
      <c r="E19" s="32"/>
      <c r="F19" s="32"/>
    </row>
    <row r="20" customFormat="false" ht="16.5" hidden="false" customHeight="true" outlineLevel="0" collapsed="false">
      <c r="B20" s="5"/>
      <c r="C20" s="32"/>
      <c r="D20" s="37"/>
      <c r="E20" s="32"/>
      <c r="F20" s="32"/>
    </row>
    <row r="21" customFormat="false" ht="16.5" hidden="false" customHeight="true" outlineLevel="0" collapsed="false">
      <c r="B21" s="5"/>
      <c r="C21" s="32"/>
      <c r="D21" s="37"/>
      <c r="E21" s="32"/>
      <c r="F21" s="32"/>
    </row>
    <row r="22" customFormat="false" ht="15" hidden="false" customHeight="false" outlineLevel="0" collapsed="false">
      <c r="B22" s="17" t="s">
        <v>524</v>
      </c>
      <c r="C22" s="50" t="n">
        <f aca="false">IF(SUM(C14:C21)=0,0,SUMPRODUCT(C14:C21,E14:E21)/SUM(C14:C21))</f>
        <v>4</v>
      </c>
    </row>
    <row r="23" customFormat="false" ht="15" hidden="false" customHeight="false" outlineLevel="0" collapsed="false">
      <c r="B23" s="17" t="s">
        <v>525</v>
      </c>
      <c r="C23" s="50" t="n">
        <f aca="false">IF(SUM(C14:C21)=0,0,SUMPRODUCT(C14:C21,F14:F21)/SUM(C14:C21))</f>
        <v>6</v>
      </c>
    </row>
    <row r="25" customFormat="false" ht="19.5" hidden="false" customHeight="true" outlineLevel="0" collapsed="false">
      <c r="B25" s="3" t="s">
        <v>526</v>
      </c>
      <c r="C25" s="3"/>
      <c r="D25" s="3"/>
      <c r="E25" s="3"/>
      <c r="F25" s="3"/>
      <c r="G25" s="3"/>
      <c r="H25" s="3"/>
      <c r="I25" s="3"/>
      <c r="J25" s="3"/>
      <c r="K25" s="3"/>
      <c r="L25" s="3"/>
      <c r="M25" s="3"/>
      <c r="N25" s="3"/>
      <c r="O25" s="3"/>
      <c r="P25" s="3"/>
      <c r="Q25" s="3"/>
      <c r="R25" s="3"/>
    </row>
    <row r="26" customFormat="false" ht="43.5" hidden="false" customHeight="true" outlineLevel="0" collapsed="false">
      <c r="B26" s="11" t="s">
        <v>527</v>
      </c>
      <c r="C26" s="11" t="s">
        <v>528</v>
      </c>
      <c r="D26" s="11" t="s">
        <v>529</v>
      </c>
      <c r="E26" s="11" t="s">
        <v>530</v>
      </c>
      <c r="F26" s="11" t="s">
        <v>531</v>
      </c>
      <c r="G26" s="11" t="s">
        <v>532</v>
      </c>
      <c r="H26" s="11" t="s">
        <v>533</v>
      </c>
      <c r="I26" s="11" t="s">
        <v>534</v>
      </c>
      <c r="J26" s="11" t="s">
        <v>535</v>
      </c>
      <c r="K26" s="11" t="s">
        <v>536</v>
      </c>
      <c r="L26" s="11" t="s">
        <v>537</v>
      </c>
      <c r="M26" s="11" t="s">
        <v>538</v>
      </c>
      <c r="N26" s="11" t="s">
        <v>539</v>
      </c>
      <c r="O26" s="11" t="s">
        <v>540</v>
      </c>
      <c r="P26" s="11" t="s">
        <v>541</v>
      </c>
      <c r="Q26" s="11" t="s">
        <v>542</v>
      </c>
      <c r="R26" s="11" t="s">
        <v>543</v>
      </c>
    </row>
    <row r="27" customFormat="false" ht="16.5" hidden="false" customHeight="true" outlineLevel="0" collapsed="false">
      <c r="B27" s="24" t="s">
        <v>544</v>
      </c>
      <c r="C27" s="24" t="s">
        <v>545</v>
      </c>
      <c r="D27" s="5" t="s">
        <v>546</v>
      </c>
      <c r="E27" s="28" t="n">
        <v>0.18</v>
      </c>
      <c r="F27" s="32" t="n">
        <v>8</v>
      </c>
      <c r="G27" s="32" t="n">
        <v>2.6</v>
      </c>
      <c r="H27" s="32" t="n">
        <v>0</v>
      </c>
      <c r="I27" s="25"/>
      <c r="J27" s="51" t="n">
        <f aca="false">IF($B27="",0,IF(D27="Muro de mampostería",Datos!$C$42,Datos!$C$15)*1000)</f>
        <v>2100000</v>
      </c>
      <c r="K27" s="51" t="n">
        <f aca="false">IF($B27="",0,IF(D27="Muro de mampostería",Datos!$C$43,0.4*Datos!$C$15)*1000)</f>
        <v>420000</v>
      </c>
      <c r="L27" s="52" t="n">
        <f aca="false">IF($B27="",0,0.6*N(E27)*N(F27))</f>
        <v>0.864</v>
      </c>
      <c r="M27" s="52" t="n">
        <f aca="false">IF($B27="",0,0.4*N(E27)*N(F27)^3/12)</f>
        <v>3.072</v>
      </c>
      <c r="N27" s="53" t="n">
        <f aca="false">IF($B27="",0,IF(D27="Pórtico u otro (R manual)",N(I27),IF(OR(M27=0,L27=0),0,1/(G27^3/(3*J27*M27)+1.2*G27/(K27*L27)))))</f>
        <v>105196.329956081</v>
      </c>
      <c r="O27" s="51" t="n">
        <f aca="false">IF(C27="X",N27,0)</f>
        <v>105196.329956081</v>
      </c>
      <c r="P27" s="51" t="n">
        <f aca="false">IF(C27="Y",N27,0)</f>
        <v>0</v>
      </c>
      <c r="Q27" s="51" t="n">
        <f aca="false">O27*N(H27)</f>
        <v>0</v>
      </c>
      <c r="R27" s="51" t="n">
        <f aca="false">P27*N(H27)</f>
        <v>0</v>
      </c>
    </row>
    <row r="28" customFormat="false" ht="16.5" hidden="false" customHeight="true" outlineLevel="0" collapsed="false">
      <c r="B28" s="24" t="s">
        <v>547</v>
      </c>
      <c r="C28" s="24" t="s">
        <v>545</v>
      </c>
      <c r="D28" s="5" t="s">
        <v>546</v>
      </c>
      <c r="E28" s="28" t="n">
        <v>0.18</v>
      </c>
      <c r="F28" s="32" t="n">
        <v>3</v>
      </c>
      <c r="G28" s="32" t="n">
        <v>2.6</v>
      </c>
      <c r="H28" s="32" t="n">
        <v>5</v>
      </c>
      <c r="I28" s="25"/>
      <c r="J28" s="51" t="n">
        <f aca="false">IF($B28="",0,IF(D28="Muro de mampostería",Datos!$C$42,Datos!$C$15)*1000)</f>
        <v>2100000</v>
      </c>
      <c r="K28" s="51" t="n">
        <f aca="false">IF($B28="",0,IF(D28="Muro de mampostería",Datos!$C$43,0.4*Datos!$C$15)*1000)</f>
        <v>420000</v>
      </c>
      <c r="L28" s="52" t="n">
        <f aca="false">IF($B28="",0,0.6*N(E28)*N(F28))</f>
        <v>0.324</v>
      </c>
      <c r="M28" s="52" t="n">
        <f aca="false">IF($B28="",0,0.4*N(E28)*N(F28)^3/12)</f>
        <v>0.162</v>
      </c>
      <c r="N28" s="53" t="n">
        <f aca="false">IF($B28="",0,IF(D28="Pórtico u otro (R manual)",N(I28),IF(OR(M28=0,L28=0),0,1/(G28^3/(3*J28*M28)+1.2*G28/(K28*L28)))))</f>
        <v>24907.2627879735</v>
      </c>
      <c r="O28" s="51" t="n">
        <f aca="false">IF(C28="X",N28,0)</f>
        <v>24907.2627879735</v>
      </c>
      <c r="P28" s="51" t="n">
        <f aca="false">IF(C28="Y",N28,0)</f>
        <v>0</v>
      </c>
      <c r="Q28" s="51" t="n">
        <f aca="false">O28*N(H28)</f>
        <v>124536.313939867</v>
      </c>
      <c r="R28" s="51" t="n">
        <f aca="false">P28*N(H28)</f>
        <v>0</v>
      </c>
    </row>
    <row r="29" customFormat="false" ht="16.5" hidden="false" customHeight="true" outlineLevel="0" collapsed="false">
      <c r="B29" s="24" t="s">
        <v>548</v>
      </c>
      <c r="C29" s="24" t="s">
        <v>545</v>
      </c>
      <c r="D29" s="5" t="s">
        <v>546</v>
      </c>
      <c r="E29" s="28" t="n">
        <v>0.18</v>
      </c>
      <c r="F29" s="32" t="n">
        <v>8</v>
      </c>
      <c r="G29" s="32" t="n">
        <v>2.6</v>
      </c>
      <c r="H29" s="32" t="n">
        <v>10</v>
      </c>
      <c r="I29" s="25"/>
      <c r="J29" s="51" t="n">
        <f aca="false">IF($B29="",0,IF(D29="Muro de mampostería",Datos!$C$42,Datos!$C$15)*1000)</f>
        <v>2100000</v>
      </c>
      <c r="K29" s="51" t="n">
        <f aca="false">IF($B29="",0,IF(D29="Muro de mampostería",Datos!$C$43,0.4*Datos!$C$15)*1000)</f>
        <v>420000</v>
      </c>
      <c r="L29" s="52" t="n">
        <f aca="false">IF($B29="",0,0.6*N(E29)*N(F29))</f>
        <v>0.864</v>
      </c>
      <c r="M29" s="52" t="n">
        <f aca="false">IF($B29="",0,0.4*N(E29)*N(F29)^3/12)</f>
        <v>3.072</v>
      </c>
      <c r="N29" s="53" t="n">
        <f aca="false">IF($B29="",0,IF(D29="Pórtico u otro (R manual)",N(I29),IF(OR(M29=0,L29=0),0,1/(G29^3/(3*J29*M29)+1.2*G29/(K29*L29)))))</f>
        <v>105196.329956081</v>
      </c>
      <c r="O29" s="51" t="n">
        <f aca="false">IF(C29="X",N29,0)</f>
        <v>105196.329956081</v>
      </c>
      <c r="P29" s="51" t="n">
        <f aca="false">IF(C29="Y",N29,0)</f>
        <v>0</v>
      </c>
      <c r="Q29" s="51" t="n">
        <f aca="false">O29*N(H29)</f>
        <v>1051963.29956081</v>
      </c>
      <c r="R29" s="51" t="n">
        <f aca="false">P29*N(H29)</f>
        <v>0</v>
      </c>
    </row>
    <row r="30" customFormat="false" ht="16.5" hidden="false" customHeight="true" outlineLevel="0" collapsed="false">
      <c r="B30" s="24" t="s">
        <v>549</v>
      </c>
      <c r="C30" s="24" t="s">
        <v>550</v>
      </c>
      <c r="D30" s="5" t="s">
        <v>546</v>
      </c>
      <c r="E30" s="28" t="n">
        <v>0.18</v>
      </c>
      <c r="F30" s="32" t="n">
        <v>10</v>
      </c>
      <c r="G30" s="32" t="n">
        <v>2.6</v>
      </c>
      <c r="H30" s="32" t="n">
        <v>0</v>
      </c>
      <c r="I30" s="25"/>
      <c r="J30" s="51" t="n">
        <f aca="false">IF($B30="",0,IF(D30="Muro de mampostería",Datos!$C$42,Datos!$C$15)*1000)</f>
        <v>2100000</v>
      </c>
      <c r="K30" s="51" t="n">
        <f aca="false">IF($B30="",0,IF(D30="Muro de mampostería",Datos!$C$43,0.4*Datos!$C$15)*1000)</f>
        <v>420000</v>
      </c>
      <c r="L30" s="52" t="n">
        <f aca="false">IF($B30="",0,0.6*N(E30)*N(F30))</f>
        <v>1.08</v>
      </c>
      <c r="M30" s="52" t="n">
        <f aca="false">IF($B30="",0,0.4*N(E30)*N(F30)^3/12)</f>
        <v>6</v>
      </c>
      <c r="N30" s="53" t="n">
        <f aca="false">IF($B30="",0,IF(D30="Pórtico u otro (R manual)",N(I30),IF(OR(M30=0,L30=0),0,1/(G30^3/(3*J30*M30)+1.2*G30/(K30*L30)))))</f>
        <v>136178.920367755</v>
      </c>
      <c r="O30" s="51" t="n">
        <f aca="false">IF(C30="X",N30,0)</f>
        <v>0</v>
      </c>
      <c r="P30" s="51" t="n">
        <f aca="false">IF(C30="Y",N30,0)</f>
        <v>136178.920367755</v>
      </c>
      <c r="Q30" s="51" t="n">
        <f aca="false">O30*N(H30)</f>
        <v>0</v>
      </c>
      <c r="R30" s="51" t="n">
        <f aca="false">P30*N(H30)</f>
        <v>0</v>
      </c>
    </row>
    <row r="31" customFormat="false" ht="16.5" hidden="false" customHeight="true" outlineLevel="0" collapsed="false">
      <c r="B31" s="24" t="s">
        <v>551</v>
      </c>
      <c r="C31" s="24" t="s">
        <v>550</v>
      </c>
      <c r="D31" s="5" t="s">
        <v>546</v>
      </c>
      <c r="E31" s="28" t="n">
        <v>0.18</v>
      </c>
      <c r="F31" s="32" t="n">
        <v>4</v>
      </c>
      <c r="G31" s="32" t="n">
        <v>2.6</v>
      </c>
      <c r="H31" s="32" t="n">
        <v>4</v>
      </c>
      <c r="I31" s="25"/>
      <c r="J31" s="51" t="n">
        <f aca="false">IF($B31="",0,IF(D31="Muro de mampostería",Datos!$C$42,Datos!$C$15)*1000)</f>
        <v>2100000</v>
      </c>
      <c r="K31" s="51" t="n">
        <f aca="false">IF($B31="",0,IF(D31="Muro de mampostería",Datos!$C$43,0.4*Datos!$C$15)*1000)</f>
        <v>420000</v>
      </c>
      <c r="L31" s="52" t="n">
        <f aca="false">IF($B31="",0,0.6*N(E31)*N(F31))</f>
        <v>0.432</v>
      </c>
      <c r="M31" s="52" t="n">
        <f aca="false">IF($B31="",0,0.4*N(E31)*N(F31)^3/12)</f>
        <v>0.384</v>
      </c>
      <c r="N31" s="53" t="n">
        <f aca="false">IF($B31="",0,IF(D31="Pórtico u otro (R manual)",N(I31),IF(OR(M31=0,L31=0),0,1/(G31^3/(3*J31*M31)+1.2*G31/(K31*L31)))))</f>
        <v>40881.4384209815</v>
      </c>
      <c r="O31" s="51" t="n">
        <f aca="false">IF(C31="X",N31,0)</f>
        <v>0</v>
      </c>
      <c r="P31" s="51" t="n">
        <f aca="false">IF(C31="Y",N31,0)</f>
        <v>40881.4384209815</v>
      </c>
      <c r="Q31" s="51" t="n">
        <f aca="false">O31*N(H31)</f>
        <v>0</v>
      </c>
      <c r="R31" s="51" t="n">
        <f aca="false">P31*N(H31)</f>
        <v>163525.753683926</v>
      </c>
    </row>
    <row r="32" customFormat="false" ht="16.5" hidden="false" customHeight="true" outlineLevel="0" collapsed="false">
      <c r="B32" s="24" t="s">
        <v>552</v>
      </c>
      <c r="C32" s="24" t="s">
        <v>550</v>
      </c>
      <c r="D32" s="5" t="s">
        <v>546</v>
      </c>
      <c r="E32" s="28" t="n">
        <v>0.18</v>
      </c>
      <c r="F32" s="32" t="n">
        <v>10</v>
      </c>
      <c r="G32" s="32" t="n">
        <v>2.6</v>
      </c>
      <c r="H32" s="32" t="n">
        <v>8</v>
      </c>
      <c r="I32" s="25"/>
      <c r="J32" s="51" t="n">
        <f aca="false">IF($B32="",0,IF(D32="Muro de mampostería",Datos!$C$42,Datos!$C$15)*1000)</f>
        <v>2100000</v>
      </c>
      <c r="K32" s="51" t="n">
        <f aca="false">IF($B32="",0,IF(D32="Muro de mampostería",Datos!$C$43,0.4*Datos!$C$15)*1000)</f>
        <v>420000</v>
      </c>
      <c r="L32" s="52" t="n">
        <f aca="false">IF($B32="",0,0.6*N(E32)*N(F32))</f>
        <v>1.08</v>
      </c>
      <c r="M32" s="52" t="n">
        <f aca="false">IF($B32="",0,0.4*N(E32)*N(F32)^3/12)</f>
        <v>6</v>
      </c>
      <c r="N32" s="53" t="n">
        <f aca="false">IF($B32="",0,IF(D32="Pórtico u otro (R manual)",N(I32),IF(OR(M32=0,L32=0),0,1/(G32^3/(3*J32*M32)+1.2*G32/(K32*L32)))))</f>
        <v>136178.920367755</v>
      </c>
      <c r="O32" s="51" t="n">
        <f aca="false">IF(C32="X",N32,0)</f>
        <v>0</v>
      </c>
      <c r="P32" s="51" t="n">
        <f aca="false">IF(C32="Y",N32,0)</f>
        <v>136178.920367755</v>
      </c>
      <c r="Q32" s="51" t="n">
        <f aca="false">O32*N(H32)</f>
        <v>0</v>
      </c>
      <c r="R32" s="51" t="n">
        <f aca="false">P32*N(H32)</f>
        <v>1089431.36294204</v>
      </c>
    </row>
    <row r="33" customFormat="false" ht="15" hidden="false" customHeight="false" outlineLevel="0" collapsed="false">
      <c r="B33" s="24"/>
      <c r="C33" s="24"/>
      <c r="D33" s="5"/>
      <c r="E33" s="28"/>
      <c r="F33" s="32"/>
      <c r="G33" s="32"/>
      <c r="H33" s="32"/>
      <c r="I33" s="25"/>
      <c r="J33" s="51" t="n">
        <f aca="false">IF($B33="",0,IF(D33="Muro de mampostería",Datos!$C$42,Datos!$C$15)*1000)</f>
        <v>0</v>
      </c>
      <c r="K33" s="51" t="n">
        <f aca="false">IF($B33="",0,IF(D33="Muro de mampostería",Datos!$C$43,0.4*Datos!$C$15)*1000)</f>
        <v>0</v>
      </c>
      <c r="L33" s="52" t="n">
        <f aca="false">IF($B33="",0,0.6*N(E33)*N(F33))</f>
        <v>0</v>
      </c>
      <c r="M33" s="52" t="n">
        <f aca="false">IF($B33="",0,0.4*N(E33)*N(F33)^3/12)</f>
        <v>0</v>
      </c>
      <c r="N33" s="53" t="n">
        <f aca="false">IF($B33="",0,IF(D33="Pórtico u otro (R manual)",N(I33),IF(OR(M33=0,L33=0),0,1/(G33^3/(3*J33*M33)+1.2*G33/(K33*L33)))))</f>
        <v>0</v>
      </c>
      <c r="O33" s="51" t="n">
        <f aca="false">IF(C33="X",N33,0)</f>
        <v>0</v>
      </c>
      <c r="P33" s="51" t="n">
        <f aca="false">IF(C33="Y",N33,0)</f>
        <v>0</v>
      </c>
      <c r="Q33" s="51" t="n">
        <f aca="false">O33*N(H33)</f>
        <v>0</v>
      </c>
      <c r="R33" s="51" t="n">
        <f aca="false">P33*N(H33)</f>
        <v>0</v>
      </c>
    </row>
    <row r="34" customFormat="false" ht="15" hidden="false" customHeight="false" outlineLevel="0" collapsed="false">
      <c r="B34" s="24"/>
      <c r="C34" s="24"/>
      <c r="D34" s="5"/>
      <c r="E34" s="28"/>
      <c r="F34" s="32"/>
      <c r="G34" s="32"/>
      <c r="H34" s="32"/>
      <c r="I34" s="25"/>
      <c r="J34" s="51" t="n">
        <f aca="false">IF($B34="",0,IF(D34="Muro de mampostería",Datos!$C$42,Datos!$C$15)*1000)</f>
        <v>0</v>
      </c>
      <c r="K34" s="51" t="n">
        <f aca="false">IF($B34="",0,IF(D34="Muro de mampostería",Datos!$C$43,0.4*Datos!$C$15)*1000)</f>
        <v>0</v>
      </c>
      <c r="L34" s="52" t="n">
        <f aca="false">IF($B34="",0,0.6*N(E34)*N(F34))</f>
        <v>0</v>
      </c>
      <c r="M34" s="52" t="n">
        <f aca="false">IF($B34="",0,0.4*N(E34)*N(F34)^3/12)</f>
        <v>0</v>
      </c>
      <c r="N34" s="53" t="n">
        <f aca="false">IF($B34="",0,IF(D34="Pórtico u otro (R manual)",N(I34),IF(OR(M34=0,L34=0),0,1/(G34^3/(3*J34*M34)+1.2*G34/(K34*L34)))))</f>
        <v>0</v>
      </c>
      <c r="O34" s="51" t="n">
        <f aca="false">IF(C34="X",N34,0)</f>
        <v>0</v>
      </c>
      <c r="P34" s="51" t="n">
        <f aca="false">IF(C34="Y",N34,0)</f>
        <v>0</v>
      </c>
      <c r="Q34" s="51" t="n">
        <f aca="false">O34*N(H34)</f>
        <v>0</v>
      </c>
      <c r="R34" s="51" t="n">
        <f aca="false">P34*N(H34)</f>
        <v>0</v>
      </c>
    </row>
    <row r="35" customFormat="false" ht="15" hidden="false" customHeight="false" outlineLevel="0" collapsed="false">
      <c r="B35" s="24"/>
      <c r="C35" s="24"/>
      <c r="D35" s="5"/>
      <c r="E35" s="28"/>
      <c r="F35" s="32"/>
      <c r="G35" s="32"/>
      <c r="H35" s="32"/>
      <c r="I35" s="25"/>
      <c r="J35" s="51" t="n">
        <f aca="false">IF($B35="",0,IF(D35="Muro de mampostería",Datos!$C$42,Datos!$C$15)*1000)</f>
        <v>0</v>
      </c>
      <c r="K35" s="51" t="n">
        <f aca="false">IF($B35="",0,IF(D35="Muro de mampostería",Datos!$C$43,0.4*Datos!$C$15)*1000)</f>
        <v>0</v>
      </c>
      <c r="L35" s="52" t="n">
        <f aca="false">IF($B35="",0,0.6*N(E35)*N(F35))</f>
        <v>0</v>
      </c>
      <c r="M35" s="52" t="n">
        <f aca="false">IF($B35="",0,0.4*N(E35)*N(F35)^3/12)</f>
        <v>0</v>
      </c>
      <c r="N35" s="53" t="n">
        <f aca="false">IF($B35="",0,IF(D35="Pórtico u otro (R manual)",N(I35),IF(OR(M35=0,L35=0),0,1/(G35^3/(3*J35*M35)+1.2*G35/(K35*L35)))))</f>
        <v>0</v>
      </c>
      <c r="O35" s="51" t="n">
        <f aca="false">IF(C35="X",N35,0)</f>
        <v>0</v>
      </c>
      <c r="P35" s="51" t="n">
        <f aca="false">IF(C35="Y",N35,0)</f>
        <v>0</v>
      </c>
      <c r="Q35" s="51" t="n">
        <f aca="false">O35*N(H35)</f>
        <v>0</v>
      </c>
      <c r="R35" s="51" t="n">
        <f aca="false">P35*N(H35)</f>
        <v>0</v>
      </c>
    </row>
    <row r="36" customFormat="false" ht="15" hidden="false" customHeight="false" outlineLevel="0" collapsed="false">
      <c r="B36" s="24"/>
      <c r="C36" s="24"/>
      <c r="D36" s="5"/>
      <c r="E36" s="28"/>
      <c r="F36" s="32"/>
      <c r="G36" s="32"/>
      <c r="H36" s="32"/>
      <c r="I36" s="25"/>
      <c r="J36" s="51" t="n">
        <f aca="false">IF($B36="",0,IF(D36="Muro de mampostería",Datos!$C$42,Datos!$C$15)*1000)</f>
        <v>0</v>
      </c>
      <c r="K36" s="51" t="n">
        <f aca="false">IF($B36="",0,IF(D36="Muro de mampostería",Datos!$C$43,0.4*Datos!$C$15)*1000)</f>
        <v>0</v>
      </c>
      <c r="L36" s="52" t="n">
        <f aca="false">IF($B36="",0,0.6*N(E36)*N(F36))</f>
        <v>0</v>
      </c>
      <c r="M36" s="52" t="n">
        <f aca="false">IF($B36="",0,0.4*N(E36)*N(F36)^3/12)</f>
        <v>0</v>
      </c>
      <c r="N36" s="53" t="n">
        <f aca="false">IF($B36="",0,IF(D36="Pórtico u otro (R manual)",N(I36),IF(OR(M36=0,L36=0),0,1/(G36^3/(3*J36*M36)+1.2*G36/(K36*L36)))))</f>
        <v>0</v>
      </c>
      <c r="O36" s="51" t="n">
        <f aca="false">IF(C36="X",N36,0)</f>
        <v>0</v>
      </c>
      <c r="P36" s="51" t="n">
        <f aca="false">IF(C36="Y",N36,0)</f>
        <v>0</v>
      </c>
      <c r="Q36" s="51" t="n">
        <f aca="false">O36*N(H36)</f>
        <v>0</v>
      </c>
      <c r="R36" s="51" t="n">
        <f aca="false">P36*N(H36)</f>
        <v>0</v>
      </c>
    </row>
    <row r="37" customFormat="false" ht="15" hidden="false" customHeight="false" outlineLevel="0" collapsed="false">
      <c r="B37" s="24"/>
      <c r="C37" s="24"/>
      <c r="D37" s="5"/>
      <c r="E37" s="28"/>
      <c r="F37" s="32"/>
      <c r="G37" s="32"/>
      <c r="H37" s="32"/>
      <c r="I37" s="25"/>
      <c r="J37" s="51" t="n">
        <f aca="false">IF($B37="",0,IF(D37="Muro de mampostería",Datos!$C$42,Datos!$C$15)*1000)</f>
        <v>0</v>
      </c>
      <c r="K37" s="51" t="n">
        <f aca="false">IF($B37="",0,IF(D37="Muro de mampostería",Datos!$C$43,0.4*Datos!$C$15)*1000)</f>
        <v>0</v>
      </c>
      <c r="L37" s="52" t="n">
        <f aca="false">IF($B37="",0,0.6*N(E37)*N(F37))</f>
        <v>0</v>
      </c>
      <c r="M37" s="52" t="n">
        <f aca="false">IF($B37="",0,0.4*N(E37)*N(F37)^3/12)</f>
        <v>0</v>
      </c>
      <c r="N37" s="53" t="n">
        <f aca="false">IF($B37="",0,IF(D37="Pórtico u otro (R manual)",N(I37),IF(OR(M37=0,L37=0),0,1/(G37^3/(3*J37*M37)+1.2*G37/(K37*L37)))))</f>
        <v>0</v>
      </c>
      <c r="O37" s="51" t="n">
        <f aca="false">IF(C37="X",N37,0)</f>
        <v>0</v>
      </c>
      <c r="P37" s="51" t="n">
        <f aca="false">IF(C37="Y",N37,0)</f>
        <v>0</v>
      </c>
      <c r="Q37" s="51" t="n">
        <f aca="false">O37*N(H37)</f>
        <v>0</v>
      </c>
      <c r="R37" s="51" t="n">
        <f aca="false">P37*N(H37)</f>
        <v>0</v>
      </c>
    </row>
    <row r="38" customFormat="false" ht="15" hidden="false" customHeight="false" outlineLevel="0" collapsed="false">
      <c r="B38" s="24"/>
      <c r="C38" s="24"/>
      <c r="D38" s="5"/>
      <c r="E38" s="28"/>
      <c r="F38" s="32"/>
      <c r="G38" s="32"/>
      <c r="H38" s="32"/>
      <c r="I38" s="25"/>
      <c r="J38" s="51" t="n">
        <f aca="false">IF($B38="",0,IF(D38="Muro de mampostería",Datos!$C$42,Datos!$C$15)*1000)</f>
        <v>0</v>
      </c>
      <c r="K38" s="51" t="n">
        <f aca="false">IF($B38="",0,IF(D38="Muro de mampostería",Datos!$C$43,0.4*Datos!$C$15)*1000)</f>
        <v>0</v>
      </c>
      <c r="L38" s="52" t="n">
        <f aca="false">IF($B38="",0,0.6*N(E38)*N(F38))</f>
        <v>0</v>
      </c>
      <c r="M38" s="52" t="n">
        <f aca="false">IF($B38="",0,0.4*N(E38)*N(F38)^3/12)</f>
        <v>0</v>
      </c>
      <c r="N38" s="53" t="n">
        <f aca="false">IF($B38="",0,IF(D38="Pórtico u otro (R manual)",N(I38),IF(OR(M38=0,L38=0),0,1/(G38^3/(3*J38*M38)+1.2*G38/(K38*L38)))))</f>
        <v>0</v>
      </c>
      <c r="O38" s="51" t="n">
        <f aca="false">IF(C38="X",N38,0)</f>
        <v>0</v>
      </c>
      <c r="P38" s="51" t="n">
        <f aca="false">IF(C38="Y",N38,0)</f>
        <v>0</v>
      </c>
      <c r="Q38" s="51" t="n">
        <f aca="false">O38*N(H38)</f>
        <v>0</v>
      </c>
      <c r="R38" s="51" t="n">
        <f aca="false">P38*N(H38)</f>
        <v>0</v>
      </c>
    </row>
    <row r="39" customFormat="false" ht="15" hidden="false" customHeight="false" outlineLevel="0" collapsed="false">
      <c r="B39" s="24"/>
      <c r="C39" s="24"/>
      <c r="D39" s="5"/>
      <c r="E39" s="28"/>
      <c r="F39" s="32"/>
      <c r="G39" s="32"/>
      <c r="H39" s="32"/>
      <c r="I39" s="25"/>
      <c r="J39" s="51" t="n">
        <f aca="false">IF($B39="",0,IF(D39="Muro de mampostería",Datos!$C$42,Datos!$C$15)*1000)</f>
        <v>0</v>
      </c>
      <c r="K39" s="51" t="n">
        <f aca="false">IF($B39="",0,IF(D39="Muro de mampostería",Datos!$C$43,0.4*Datos!$C$15)*1000)</f>
        <v>0</v>
      </c>
      <c r="L39" s="52" t="n">
        <f aca="false">IF($B39="",0,0.6*N(E39)*N(F39))</f>
        <v>0</v>
      </c>
      <c r="M39" s="52" t="n">
        <f aca="false">IF($B39="",0,0.4*N(E39)*N(F39)^3/12)</f>
        <v>0</v>
      </c>
      <c r="N39" s="53" t="n">
        <f aca="false">IF($B39="",0,IF(D39="Pórtico u otro (R manual)",N(I39),IF(OR(M39=0,L39=0),0,1/(G39^3/(3*J39*M39)+1.2*G39/(K39*L39)))))</f>
        <v>0</v>
      </c>
      <c r="O39" s="51" t="n">
        <f aca="false">IF(C39="X",N39,0)</f>
        <v>0</v>
      </c>
      <c r="P39" s="51" t="n">
        <f aca="false">IF(C39="Y",N39,0)</f>
        <v>0</v>
      </c>
      <c r="Q39" s="51" t="n">
        <f aca="false">O39*N(H39)</f>
        <v>0</v>
      </c>
      <c r="R39" s="51" t="n">
        <f aca="false">P39*N(H39)</f>
        <v>0</v>
      </c>
    </row>
    <row r="40" customFormat="false" ht="15" hidden="false" customHeight="false" outlineLevel="0" collapsed="false">
      <c r="B40" s="24"/>
      <c r="C40" s="24"/>
      <c r="D40" s="5"/>
      <c r="E40" s="28"/>
      <c r="F40" s="32"/>
      <c r="G40" s="32"/>
      <c r="H40" s="32"/>
      <c r="I40" s="25"/>
      <c r="J40" s="51" t="n">
        <f aca="false">IF($B40="",0,IF(D40="Muro de mampostería",Datos!$C$42,Datos!$C$15)*1000)</f>
        <v>0</v>
      </c>
      <c r="K40" s="51" t="n">
        <f aca="false">IF($B40="",0,IF(D40="Muro de mampostería",Datos!$C$43,0.4*Datos!$C$15)*1000)</f>
        <v>0</v>
      </c>
      <c r="L40" s="52" t="n">
        <f aca="false">IF($B40="",0,0.6*N(E40)*N(F40))</f>
        <v>0</v>
      </c>
      <c r="M40" s="52" t="n">
        <f aca="false">IF($B40="",0,0.4*N(E40)*N(F40)^3/12)</f>
        <v>0</v>
      </c>
      <c r="N40" s="53" t="n">
        <f aca="false">IF($B40="",0,IF(D40="Pórtico u otro (R manual)",N(I40),IF(OR(M40=0,L40=0),0,1/(G40^3/(3*J40*M40)+1.2*G40/(K40*L40)))))</f>
        <v>0</v>
      </c>
      <c r="O40" s="51" t="n">
        <f aca="false">IF(C40="X",N40,0)</f>
        <v>0</v>
      </c>
      <c r="P40" s="51" t="n">
        <f aca="false">IF(C40="Y",N40,0)</f>
        <v>0</v>
      </c>
      <c r="Q40" s="51" t="n">
        <f aca="false">O40*N(H40)</f>
        <v>0</v>
      </c>
      <c r="R40" s="51" t="n">
        <f aca="false">P40*N(H40)</f>
        <v>0</v>
      </c>
    </row>
    <row r="42" customFormat="false" ht="19.5" hidden="false" customHeight="true" outlineLevel="0" collapsed="false">
      <c r="B42" s="3" t="s">
        <v>553</v>
      </c>
      <c r="C42" s="3"/>
      <c r="D42" s="3"/>
      <c r="E42" s="3"/>
      <c r="F42" s="3"/>
      <c r="G42" s="3"/>
      <c r="H42" s="3"/>
      <c r="I42" s="3"/>
      <c r="J42" s="3"/>
    </row>
    <row r="43" customFormat="false" ht="15" hidden="false" customHeight="false" outlineLevel="0" collapsed="false">
      <c r="B43" s="19" t="s">
        <v>554</v>
      </c>
      <c r="C43" s="54" t="n">
        <f aca="false">SUM(O27:O40)</f>
        <v>235299.922700136</v>
      </c>
    </row>
    <row r="44" customFormat="false" ht="15" hidden="false" customHeight="false" outlineLevel="0" collapsed="false">
      <c r="B44" s="19" t="s">
        <v>555</v>
      </c>
      <c r="C44" s="54" t="n">
        <f aca="false">SUM(P27:P40)</f>
        <v>313239.279156492</v>
      </c>
    </row>
    <row r="45" customFormat="false" ht="15" hidden="false" customHeight="false" outlineLevel="0" collapsed="false">
      <c r="B45" s="19" t="s">
        <v>556</v>
      </c>
      <c r="C45" s="50" t="n">
        <f aca="false">IF(C43=0,0,SUM(Q27:Q40)/C43)</f>
        <v>5</v>
      </c>
    </row>
    <row r="46" customFormat="false" ht="15" hidden="false" customHeight="false" outlineLevel="0" collapsed="false">
      <c r="B46" s="19" t="s">
        <v>557</v>
      </c>
      <c r="C46" s="50" t="n">
        <f aca="false">IF(C44=0,0,SUM(R27:R40)/C44)</f>
        <v>4</v>
      </c>
    </row>
    <row r="47" customFormat="false" ht="15" hidden="false" customHeight="false" outlineLevel="0" collapsed="false">
      <c r="B47" s="19" t="s">
        <v>558</v>
      </c>
      <c r="C47" s="50" t="n">
        <f aca="false">C22-C46</f>
        <v>0</v>
      </c>
    </row>
    <row r="48" customFormat="false" ht="15" hidden="false" customHeight="false" outlineLevel="0" collapsed="false">
      <c r="B48" s="19" t="s">
        <v>559</v>
      </c>
      <c r="C48" s="50" t="n">
        <f aca="false">C23-C45</f>
        <v>1</v>
      </c>
    </row>
    <row r="49" customFormat="false" ht="15" hidden="false" customHeight="false" outlineLevel="0" collapsed="false">
      <c r="B49" s="19" t="s">
        <v>560</v>
      </c>
      <c r="C49" s="50" t="n">
        <f aca="false">C7*C8</f>
        <v>0.4</v>
      </c>
    </row>
    <row r="50" customFormat="false" ht="15" hidden="false" customHeight="false" outlineLevel="0" collapsed="false">
      <c r="B50" s="19" t="s">
        <v>561</v>
      </c>
      <c r="C50" s="50" t="n">
        <f aca="false">C7*C9</f>
        <v>0.6</v>
      </c>
    </row>
    <row r="51" customFormat="false" ht="15" hidden="false" customHeight="false" outlineLevel="0" collapsed="false">
      <c r="B51" s="19" t="s">
        <v>562</v>
      </c>
      <c r="C51" s="50" t="n">
        <f aca="false">C47+C49</f>
        <v>0.4</v>
      </c>
    </row>
    <row r="52" customFormat="false" ht="15" hidden="false" customHeight="false" outlineLevel="0" collapsed="false">
      <c r="B52" s="19" t="s">
        <v>563</v>
      </c>
      <c r="C52" s="50" t="n">
        <f aca="false">C47-C49</f>
        <v>-0.4</v>
      </c>
    </row>
    <row r="53" customFormat="false" ht="15" hidden="false" customHeight="false" outlineLevel="0" collapsed="false">
      <c r="B53" s="19" t="s">
        <v>564</v>
      </c>
      <c r="C53" s="50" t="n">
        <f aca="false">C48+C50</f>
        <v>1.6</v>
      </c>
    </row>
    <row r="54" customFormat="false" ht="15" hidden="false" customHeight="false" outlineLevel="0" collapsed="false">
      <c r="B54" s="19" t="s">
        <v>565</v>
      </c>
      <c r="C54" s="50" t="n">
        <f aca="false">C48-C50</f>
        <v>0.4</v>
      </c>
    </row>
    <row r="56" customFormat="false" ht="19.5" hidden="false" customHeight="true" outlineLevel="0" collapsed="false">
      <c r="B56" s="3" t="s">
        <v>566</v>
      </c>
      <c r="C56" s="3"/>
      <c r="D56" s="3"/>
      <c r="E56" s="3"/>
      <c r="F56" s="3"/>
      <c r="G56" s="3"/>
      <c r="H56" s="3"/>
      <c r="I56" s="3"/>
      <c r="J56" s="3"/>
    </row>
    <row r="57" customFormat="false" ht="43.5" hidden="false" customHeight="true" outlineLevel="0" collapsed="false">
      <c r="B57" s="11" t="s">
        <v>527</v>
      </c>
      <c r="C57" s="11" t="s">
        <v>567</v>
      </c>
      <c r="D57" s="11" t="s">
        <v>529</v>
      </c>
      <c r="E57" s="11" t="s">
        <v>539</v>
      </c>
      <c r="F57" s="11" t="s">
        <v>568</v>
      </c>
      <c r="G57" s="11" t="s">
        <v>569</v>
      </c>
      <c r="H57" s="11" t="s">
        <v>570</v>
      </c>
      <c r="I57" s="11" t="s">
        <v>571</v>
      </c>
      <c r="J57" s="11" t="s">
        <v>572</v>
      </c>
      <c r="K57" s="11" t="s">
        <v>573</v>
      </c>
    </row>
    <row r="58" customFormat="false" ht="15" hidden="false" customHeight="false" outlineLevel="0" collapsed="false">
      <c r="B58" s="35" t="str">
        <f aca="false">IF(B27="","",B27)</f>
        <v>MX1</v>
      </c>
      <c r="C58" s="35" t="str">
        <f aca="false">IF(B27="","",C27)</f>
        <v>X</v>
      </c>
      <c r="D58" s="6" t="str">
        <f aca="false">IF(B27="","",D27)</f>
        <v>Muro de mampostería</v>
      </c>
      <c r="E58" s="51" t="n">
        <f aca="false">N27</f>
        <v>105196.329956081</v>
      </c>
      <c r="F58" s="30" t="n">
        <f aca="false">IF($B58="",0,IF(C58="X",N(H27)-$C$45,N(H27)-$C$46))</f>
        <v>-5</v>
      </c>
      <c r="G58" s="51" t="n">
        <f aca="false">E58*F58^2</f>
        <v>2629908.24890203</v>
      </c>
      <c r="H58" s="22" t="n">
        <f aca="false">IF($B58="",0,'Sismo 2 Distribucion'!$C$5*E58/IF(C58="X",$C$43,$C$44))</f>
        <v>109.225091697528</v>
      </c>
      <c r="I58" s="22" t="n">
        <f aca="false">IF(OR($B58="",SUM($G$58:$G$71)=0),0,'Sismo 2 Distribucion'!$C$5*IF(C58="X",$C$53,$C$51)*E58*F58/SUM($G$58:$G$71))</f>
        <v>-21.3781490265185</v>
      </c>
      <c r="J58" s="22" t="n">
        <f aca="false">IF(OR($B58="",SUM($G$58:$G$71)=0),0,'Sismo 2 Distribucion'!$C$5*IF(C58="X",$C$54,$C$52)*E58*F58/SUM($G$58:$G$71))</f>
        <v>-5.34453725662961</v>
      </c>
      <c r="K58" s="31" t="n">
        <f aca="false">H58+MAX(0,I58,J58)</f>
        <v>109.225091697528</v>
      </c>
    </row>
    <row r="59" customFormat="false" ht="15" hidden="false" customHeight="false" outlineLevel="0" collapsed="false">
      <c r="B59" s="35" t="str">
        <f aca="false">IF(B28="","",B28)</f>
        <v>MX2</v>
      </c>
      <c r="C59" s="35" t="str">
        <f aca="false">IF(B28="","",C28)</f>
        <v>X</v>
      </c>
      <c r="D59" s="6" t="str">
        <f aca="false">IF(B28="","",D28)</f>
        <v>Muro de mampostería</v>
      </c>
      <c r="E59" s="51" t="n">
        <f aca="false">N28</f>
        <v>24907.2627879735</v>
      </c>
      <c r="F59" s="30" t="n">
        <f aca="false">IF($B59="",0,IF(C59="X",N(H28)-$C$45,N(H28)-$C$46))</f>
        <v>0</v>
      </c>
      <c r="G59" s="51" t="n">
        <f aca="false">E59*F59^2</f>
        <v>0</v>
      </c>
      <c r="H59" s="22" t="n">
        <f aca="false">IF($B59="",0,'Sismo 2 Distribucion'!$C$5*E59/IF(C59="X",$C$43,$C$44))</f>
        <v>25.8611499382783</v>
      </c>
      <c r="I59" s="22" t="n">
        <f aca="false">IF(OR($B59="",SUM($G$58:$G$71)=0),0,'Sismo 2 Distribucion'!$C$5*IF(C59="X",$C$53,$C$51)*E59*F59/SUM($G$58:$G$71))</f>
        <v>0</v>
      </c>
      <c r="J59" s="22" t="n">
        <f aca="false">IF(OR($B59="",SUM($G$58:$G$71)=0),0,'Sismo 2 Distribucion'!$C$5*IF(C59="X",$C$54,$C$52)*E59*F59/SUM($G$58:$G$71))</f>
        <v>0</v>
      </c>
      <c r="K59" s="31" t="n">
        <f aca="false">H59+MAX(0,I59,J59)</f>
        <v>25.8611499382783</v>
      </c>
    </row>
    <row r="60" customFormat="false" ht="15" hidden="false" customHeight="false" outlineLevel="0" collapsed="false">
      <c r="B60" s="35" t="str">
        <f aca="false">IF(B29="","",B29)</f>
        <v>MX3</v>
      </c>
      <c r="C60" s="35" t="str">
        <f aca="false">IF(B29="","",C29)</f>
        <v>X</v>
      </c>
      <c r="D60" s="6" t="str">
        <f aca="false">IF(B29="","",D29)</f>
        <v>Muro de mampostería</v>
      </c>
      <c r="E60" s="51" t="n">
        <f aca="false">N29</f>
        <v>105196.329956081</v>
      </c>
      <c r="F60" s="30" t="n">
        <f aca="false">IF($B60="",0,IF(C60="X",N(H29)-$C$45,N(H29)-$C$46))</f>
        <v>5</v>
      </c>
      <c r="G60" s="51" t="n">
        <f aca="false">E60*F60^2</f>
        <v>2629908.24890203</v>
      </c>
      <c r="H60" s="22" t="n">
        <f aca="false">IF($B60="",0,'Sismo 2 Distribucion'!$C$5*E60/IF(C60="X",$C$43,$C$44))</f>
        <v>109.225091697528</v>
      </c>
      <c r="I60" s="22" t="n">
        <f aca="false">IF(OR($B60="",SUM($G$58:$G$71)=0),0,'Sismo 2 Distribucion'!$C$5*IF(C60="X",$C$53,$C$51)*E60*F60/SUM($G$58:$G$71))</f>
        <v>21.3781490265185</v>
      </c>
      <c r="J60" s="22" t="n">
        <f aca="false">IF(OR($B60="",SUM($G$58:$G$71)=0),0,'Sismo 2 Distribucion'!$C$5*IF(C60="X",$C$54,$C$52)*E60*F60/SUM($G$58:$G$71))</f>
        <v>5.34453725662961</v>
      </c>
      <c r="K60" s="31" t="n">
        <f aca="false">H60+MAX(0,I60,J60)</f>
        <v>130.603240724046</v>
      </c>
    </row>
    <row r="61" customFormat="false" ht="15" hidden="false" customHeight="false" outlineLevel="0" collapsed="false">
      <c r="B61" s="35" t="str">
        <f aca="false">IF(B30="","",B30)</f>
        <v>MY1</v>
      </c>
      <c r="C61" s="35" t="str">
        <f aca="false">IF(B30="","",C30)</f>
        <v>Y</v>
      </c>
      <c r="D61" s="6" t="str">
        <f aca="false">IF(B30="","",D30)</f>
        <v>Muro de mampostería</v>
      </c>
      <c r="E61" s="51" t="n">
        <f aca="false">N30</f>
        <v>136178.920367755</v>
      </c>
      <c r="F61" s="30" t="n">
        <f aca="false">IF($B61="",0,IF(C61="X",N(H30)-$C$45,N(H30)-$C$46))</f>
        <v>-4</v>
      </c>
      <c r="G61" s="51" t="n">
        <f aca="false">E61*F61^2</f>
        <v>2178862.72588408</v>
      </c>
      <c r="H61" s="22" t="n">
        <f aca="false">IF($B61="",0,'Sismo 2 Distribucion'!$C$5*E61/IF(C61="X",$C$43,$C$44))</f>
        <v>106.212904385847</v>
      </c>
      <c r="I61" s="22" t="n">
        <f aca="false">IF(OR($B61="",SUM($G$58:$G$71)=0),0,'Sismo 2 Distribucion'!$C$5*IF(C61="X",$C$53,$C$51)*E61*F61/SUM($G$58:$G$71))</f>
        <v>-5.53489509587965</v>
      </c>
      <c r="J61" s="22" t="n">
        <f aca="false">IF(OR($B61="",SUM($G$58:$G$71)=0),0,'Sismo 2 Distribucion'!$C$5*IF(C61="X",$C$54,$C$52)*E61*F61/SUM($G$58:$G$71))</f>
        <v>5.53489509587965</v>
      </c>
      <c r="K61" s="31" t="n">
        <f aca="false">H61+MAX(0,I61,J61)</f>
        <v>111.747799481727</v>
      </c>
    </row>
    <row r="62" customFormat="false" ht="15" hidden="false" customHeight="false" outlineLevel="0" collapsed="false">
      <c r="B62" s="35" t="str">
        <f aca="false">IF(B31="","",B31)</f>
        <v>MY2</v>
      </c>
      <c r="C62" s="35" t="str">
        <f aca="false">IF(B31="","",C31)</f>
        <v>Y</v>
      </c>
      <c r="D62" s="6" t="str">
        <f aca="false">IF(B31="","",D31)</f>
        <v>Muro de mampostería</v>
      </c>
      <c r="E62" s="51" t="n">
        <f aca="false">N31</f>
        <v>40881.4384209815</v>
      </c>
      <c r="F62" s="30" t="n">
        <f aca="false">IF($B62="",0,IF(C62="X",N(H31)-$C$45,N(H31)-$C$46))</f>
        <v>0</v>
      </c>
      <c r="G62" s="51" t="n">
        <f aca="false">E62*F62^2</f>
        <v>0</v>
      </c>
      <c r="H62" s="22" t="n">
        <f aca="false">IF($B62="",0,'Sismo 2 Distribucion'!$C$5*E62/IF(C62="X",$C$43,$C$44))</f>
        <v>31.8855245616394</v>
      </c>
      <c r="I62" s="22" t="n">
        <f aca="false">IF(OR($B62="",SUM($G$58:$G$71)=0),0,'Sismo 2 Distribucion'!$C$5*IF(C62="X",$C$53,$C$51)*E62*F62/SUM($G$58:$G$71))</f>
        <v>0</v>
      </c>
      <c r="J62" s="22" t="n">
        <f aca="false">IF(OR($B62="",SUM($G$58:$G$71)=0),0,'Sismo 2 Distribucion'!$C$5*IF(C62="X",$C$54,$C$52)*E62*F62/SUM($G$58:$G$71))</f>
        <v>-0</v>
      </c>
      <c r="K62" s="31" t="n">
        <f aca="false">H62+MAX(0,I62,J62)</f>
        <v>31.8855245616394</v>
      </c>
    </row>
    <row r="63" customFormat="false" ht="15" hidden="false" customHeight="false" outlineLevel="0" collapsed="false">
      <c r="B63" s="35" t="str">
        <f aca="false">IF(B32="","",B32)</f>
        <v>MY3</v>
      </c>
      <c r="C63" s="35" t="str">
        <f aca="false">IF(B32="","",C32)</f>
        <v>Y</v>
      </c>
      <c r="D63" s="6" t="str">
        <f aca="false">IF(B32="","",D32)</f>
        <v>Muro de mampostería</v>
      </c>
      <c r="E63" s="51" t="n">
        <f aca="false">N32</f>
        <v>136178.920367755</v>
      </c>
      <c r="F63" s="30" t="n">
        <f aca="false">IF($B63="",0,IF(C63="X",N(H32)-$C$45,N(H32)-$C$46))</f>
        <v>4</v>
      </c>
      <c r="G63" s="51" t="n">
        <f aca="false">E63*F63^2</f>
        <v>2178862.72588408</v>
      </c>
      <c r="H63" s="22" t="n">
        <f aca="false">IF($B63="",0,'Sismo 2 Distribucion'!$C$5*E63/IF(C63="X",$C$43,$C$44))</f>
        <v>106.212904385847</v>
      </c>
      <c r="I63" s="22" t="n">
        <f aca="false">IF(OR($B63="",SUM($G$58:$G$71)=0),0,'Sismo 2 Distribucion'!$C$5*IF(C63="X",$C$53,$C$51)*E63*F63/SUM($G$58:$G$71))</f>
        <v>5.53489509587965</v>
      </c>
      <c r="J63" s="22" t="n">
        <f aca="false">IF(OR($B63="",SUM($G$58:$G$71)=0),0,'Sismo 2 Distribucion'!$C$5*IF(C63="X",$C$54,$C$52)*E63*F63/SUM($G$58:$G$71))</f>
        <v>-5.53489509587965</v>
      </c>
      <c r="K63" s="31" t="n">
        <f aca="false">H63+MAX(0,I63,J63)</f>
        <v>111.747799481727</v>
      </c>
    </row>
    <row r="64" customFormat="false" ht="15" hidden="false" customHeight="false" outlineLevel="0" collapsed="false">
      <c r="B64" s="35" t="str">
        <f aca="false">IF(B33="","",B33)</f>
        <v/>
      </c>
      <c r="C64" s="35" t="str">
        <f aca="false">IF(B33="","",C33)</f>
        <v/>
      </c>
      <c r="D64" s="6" t="str">
        <f aca="false">IF(B33="","",D33)</f>
        <v/>
      </c>
      <c r="E64" s="51" t="n">
        <f aca="false">N33</f>
        <v>0</v>
      </c>
      <c r="F64" s="30" t="n">
        <f aca="false">IF($B64="",0,IF(C64="X",N(H33)-$C$45,N(H33)-$C$46))</f>
        <v>0</v>
      </c>
      <c r="G64" s="51" t="n">
        <f aca="false">E64*F64^2</f>
        <v>0</v>
      </c>
      <c r="H64" s="22" t="n">
        <f aca="false">IF($B64="",0,'Sismo 2 Distribucion'!$C$5*E64/IF(C64="X",$C$43,$C$44))</f>
        <v>0</v>
      </c>
      <c r="I64" s="22" t="n">
        <f aca="false">IF(OR($B64="",SUM($G$58:$G$71)=0),0,'Sismo 2 Distribucion'!$C$5*IF(C64="X",$C$53,$C$51)*E64*F64/SUM($G$58:$G$71))</f>
        <v>0</v>
      </c>
      <c r="J64" s="22" t="n">
        <f aca="false">IF(OR($B64="",SUM($G$58:$G$71)=0),0,'Sismo 2 Distribucion'!$C$5*IF(C64="X",$C$54,$C$52)*E64*F64/SUM($G$58:$G$71))</f>
        <v>0</v>
      </c>
      <c r="K64" s="31" t="n">
        <f aca="false">H64+MAX(0,I64,J64)</f>
        <v>0</v>
      </c>
    </row>
    <row r="65" customFormat="false" ht="15" hidden="false" customHeight="false" outlineLevel="0" collapsed="false">
      <c r="B65" s="35" t="str">
        <f aca="false">IF(B34="","",B34)</f>
        <v/>
      </c>
      <c r="C65" s="35" t="str">
        <f aca="false">IF(B34="","",C34)</f>
        <v/>
      </c>
      <c r="D65" s="6" t="str">
        <f aca="false">IF(B34="","",D34)</f>
        <v/>
      </c>
      <c r="E65" s="51" t="n">
        <f aca="false">N34</f>
        <v>0</v>
      </c>
      <c r="F65" s="30" t="n">
        <f aca="false">IF($B65="",0,IF(C65="X",N(H34)-$C$45,N(H34)-$C$46))</f>
        <v>0</v>
      </c>
      <c r="G65" s="51" t="n">
        <f aca="false">E65*F65^2</f>
        <v>0</v>
      </c>
      <c r="H65" s="22" t="n">
        <f aca="false">IF($B65="",0,'Sismo 2 Distribucion'!$C$5*E65/IF(C65="X",$C$43,$C$44))</f>
        <v>0</v>
      </c>
      <c r="I65" s="22" t="n">
        <f aca="false">IF(OR($B65="",SUM($G$58:$G$71)=0),0,'Sismo 2 Distribucion'!$C$5*IF(C65="X",$C$53,$C$51)*E65*F65/SUM($G$58:$G$71))</f>
        <v>0</v>
      </c>
      <c r="J65" s="22" t="n">
        <f aca="false">IF(OR($B65="",SUM($G$58:$G$71)=0),0,'Sismo 2 Distribucion'!$C$5*IF(C65="X",$C$54,$C$52)*E65*F65/SUM($G$58:$G$71))</f>
        <v>0</v>
      </c>
      <c r="K65" s="31" t="n">
        <f aca="false">H65+MAX(0,I65,J65)</f>
        <v>0</v>
      </c>
    </row>
    <row r="66" customFormat="false" ht="15" hidden="false" customHeight="false" outlineLevel="0" collapsed="false">
      <c r="B66" s="35" t="str">
        <f aca="false">IF(B35="","",B35)</f>
        <v/>
      </c>
      <c r="C66" s="35" t="str">
        <f aca="false">IF(B35="","",C35)</f>
        <v/>
      </c>
      <c r="D66" s="6" t="str">
        <f aca="false">IF(B35="","",D35)</f>
        <v/>
      </c>
      <c r="E66" s="51" t="n">
        <f aca="false">N35</f>
        <v>0</v>
      </c>
      <c r="F66" s="30" t="n">
        <f aca="false">IF($B66="",0,IF(C66="X",N(H35)-$C$45,N(H35)-$C$46))</f>
        <v>0</v>
      </c>
      <c r="G66" s="51" t="n">
        <f aca="false">E66*F66^2</f>
        <v>0</v>
      </c>
      <c r="H66" s="22" t="n">
        <f aca="false">IF($B66="",0,'Sismo 2 Distribucion'!$C$5*E66/IF(C66="X",$C$43,$C$44))</f>
        <v>0</v>
      </c>
      <c r="I66" s="22" t="n">
        <f aca="false">IF(OR($B66="",SUM($G$58:$G$71)=0),0,'Sismo 2 Distribucion'!$C$5*IF(C66="X",$C$53,$C$51)*E66*F66/SUM($G$58:$G$71))</f>
        <v>0</v>
      </c>
      <c r="J66" s="22" t="n">
        <f aca="false">IF(OR($B66="",SUM($G$58:$G$71)=0),0,'Sismo 2 Distribucion'!$C$5*IF(C66="X",$C$54,$C$52)*E66*F66/SUM($G$58:$G$71))</f>
        <v>0</v>
      </c>
      <c r="K66" s="31" t="n">
        <f aca="false">H66+MAX(0,I66,J66)</f>
        <v>0</v>
      </c>
    </row>
    <row r="67" customFormat="false" ht="15" hidden="false" customHeight="false" outlineLevel="0" collapsed="false">
      <c r="B67" s="35" t="str">
        <f aca="false">IF(B36="","",B36)</f>
        <v/>
      </c>
      <c r="C67" s="35" t="str">
        <f aca="false">IF(B36="","",C36)</f>
        <v/>
      </c>
      <c r="D67" s="6" t="str">
        <f aca="false">IF(B36="","",D36)</f>
        <v/>
      </c>
      <c r="E67" s="51" t="n">
        <f aca="false">N36</f>
        <v>0</v>
      </c>
      <c r="F67" s="30" t="n">
        <f aca="false">IF($B67="",0,IF(C67="X",N(H36)-$C$45,N(H36)-$C$46))</f>
        <v>0</v>
      </c>
      <c r="G67" s="51" t="n">
        <f aca="false">E67*F67^2</f>
        <v>0</v>
      </c>
      <c r="H67" s="22" t="n">
        <f aca="false">IF($B67="",0,'Sismo 2 Distribucion'!$C$5*E67/IF(C67="X",$C$43,$C$44))</f>
        <v>0</v>
      </c>
      <c r="I67" s="22" t="n">
        <f aca="false">IF(OR($B67="",SUM($G$58:$G$71)=0),0,'Sismo 2 Distribucion'!$C$5*IF(C67="X",$C$53,$C$51)*E67*F67/SUM($G$58:$G$71))</f>
        <v>0</v>
      </c>
      <c r="J67" s="22" t="n">
        <f aca="false">IF(OR($B67="",SUM($G$58:$G$71)=0),0,'Sismo 2 Distribucion'!$C$5*IF(C67="X",$C$54,$C$52)*E67*F67/SUM($G$58:$G$71))</f>
        <v>0</v>
      </c>
      <c r="K67" s="31" t="n">
        <f aca="false">H67+MAX(0,I67,J67)</f>
        <v>0</v>
      </c>
    </row>
    <row r="68" customFormat="false" ht="15" hidden="false" customHeight="false" outlineLevel="0" collapsed="false">
      <c r="B68" s="35" t="str">
        <f aca="false">IF(B37="","",B37)</f>
        <v/>
      </c>
      <c r="C68" s="35" t="str">
        <f aca="false">IF(B37="","",C37)</f>
        <v/>
      </c>
      <c r="D68" s="6" t="str">
        <f aca="false">IF(B37="","",D37)</f>
        <v/>
      </c>
      <c r="E68" s="51" t="n">
        <f aca="false">N37</f>
        <v>0</v>
      </c>
      <c r="F68" s="30" t="n">
        <f aca="false">IF($B68="",0,IF(C68="X",N(H37)-$C$45,N(H37)-$C$46))</f>
        <v>0</v>
      </c>
      <c r="G68" s="51" t="n">
        <f aca="false">E68*F68^2</f>
        <v>0</v>
      </c>
      <c r="H68" s="22" t="n">
        <f aca="false">IF($B68="",0,'Sismo 2 Distribucion'!$C$5*E68/IF(C68="X",$C$43,$C$44))</f>
        <v>0</v>
      </c>
      <c r="I68" s="22" t="n">
        <f aca="false">IF(OR($B68="",SUM($G$58:$G$71)=0),0,'Sismo 2 Distribucion'!$C$5*IF(C68="X",$C$53,$C$51)*E68*F68/SUM($G$58:$G$71))</f>
        <v>0</v>
      </c>
      <c r="J68" s="22" t="n">
        <f aca="false">IF(OR($B68="",SUM($G$58:$G$71)=0),0,'Sismo 2 Distribucion'!$C$5*IF(C68="X",$C$54,$C$52)*E68*F68/SUM($G$58:$G$71))</f>
        <v>0</v>
      </c>
      <c r="K68" s="31" t="n">
        <f aca="false">H68+MAX(0,I68,J68)</f>
        <v>0</v>
      </c>
    </row>
    <row r="69" customFormat="false" ht="15" hidden="false" customHeight="false" outlineLevel="0" collapsed="false">
      <c r="B69" s="35" t="str">
        <f aca="false">IF(B38="","",B38)</f>
        <v/>
      </c>
      <c r="C69" s="35" t="str">
        <f aca="false">IF(B38="","",C38)</f>
        <v/>
      </c>
      <c r="D69" s="6" t="str">
        <f aca="false">IF(B38="","",D38)</f>
        <v/>
      </c>
      <c r="E69" s="51" t="n">
        <f aca="false">N38</f>
        <v>0</v>
      </c>
      <c r="F69" s="30" t="n">
        <f aca="false">IF($B69="",0,IF(C69="X",N(H38)-$C$45,N(H38)-$C$46))</f>
        <v>0</v>
      </c>
      <c r="G69" s="51" t="n">
        <f aca="false">E69*F69^2</f>
        <v>0</v>
      </c>
      <c r="H69" s="22" t="n">
        <f aca="false">IF($B69="",0,'Sismo 2 Distribucion'!$C$5*E69/IF(C69="X",$C$43,$C$44))</f>
        <v>0</v>
      </c>
      <c r="I69" s="22" t="n">
        <f aca="false">IF(OR($B69="",SUM($G$58:$G$71)=0),0,'Sismo 2 Distribucion'!$C$5*IF(C69="X",$C$53,$C$51)*E69*F69/SUM($G$58:$G$71))</f>
        <v>0</v>
      </c>
      <c r="J69" s="22" t="n">
        <f aca="false">IF(OR($B69="",SUM($G$58:$G$71)=0),0,'Sismo 2 Distribucion'!$C$5*IF(C69="X",$C$54,$C$52)*E69*F69/SUM($G$58:$G$71))</f>
        <v>0</v>
      </c>
      <c r="K69" s="31" t="n">
        <f aca="false">H69+MAX(0,I69,J69)</f>
        <v>0</v>
      </c>
    </row>
    <row r="70" customFormat="false" ht="15" hidden="false" customHeight="false" outlineLevel="0" collapsed="false">
      <c r="B70" s="35" t="str">
        <f aca="false">IF(B39="","",B39)</f>
        <v/>
      </c>
      <c r="C70" s="35" t="str">
        <f aca="false">IF(B39="","",C39)</f>
        <v/>
      </c>
      <c r="D70" s="6" t="str">
        <f aca="false">IF(B39="","",D39)</f>
        <v/>
      </c>
      <c r="E70" s="51" t="n">
        <f aca="false">N39</f>
        <v>0</v>
      </c>
      <c r="F70" s="30" t="n">
        <f aca="false">IF($B70="",0,IF(C70="X",N(H39)-$C$45,N(H39)-$C$46))</f>
        <v>0</v>
      </c>
      <c r="G70" s="51" t="n">
        <f aca="false">E70*F70^2</f>
        <v>0</v>
      </c>
      <c r="H70" s="22" t="n">
        <f aca="false">IF($B70="",0,'Sismo 2 Distribucion'!$C$5*E70/IF(C70="X",$C$43,$C$44))</f>
        <v>0</v>
      </c>
      <c r="I70" s="22" t="n">
        <f aca="false">IF(OR($B70="",SUM($G$58:$G$71)=0),0,'Sismo 2 Distribucion'!$C$5*IF(C70="X",$C$53,$C$51)*E70*F70/SUM($G$58:$G$71))</f>
        <v>0</v>
      </c>
      <c r="J70" s="22" t="n">
        <f aca="false">IF(OR($B70="",SUM($G$58:$G$71)=0),0,'Sismo 2 Distribucion'!$C$5*IF(C70="X",$C$54,$C$52)*E70*F70/SUM($G$58:$G$71))</f>
        <v>0</v>
      </c>
      <c r="K70" s="31" t="n">
        <f aca="false">H70+MAX(0,I70,J70)</f>
        <v>0</v>
      </c>
    </row>
    <row r="71" customFormat="false" ht="15" hidden="false" customHeight="false" outlineLevel="0" collapsed="false">
      <c r="B71" s="35" t="str">
        <f aca="false">IF(B40="","",B40)</f>
        <v/>
      </c>
      <c r="C71" s="35" t="str">
        <f aca="false">IF(B40="","",C40)</f>
        <v/>
      </c>
      <c r="D71" s="6" t="str">
        <f aca="false">IF(B40="","",D40)</f>
        <v/>
      </c>
      <c r="E71" s="51" t="n">
        <f aca="false">N40</f>
        <v>0</v>
      </c>
      <c r="F71" s="30" t="n">
        <f aca="false">IF($B71="",0,IF(C71="X",N(H40)-$C$45,N(H40)-$C$46))</f>
        <v>0</v>
      </c>
      <c r="G71" s="51" t="n">
        <f aca="false">E71*F71^2</f>
        <v>0</v>
      </c>
      <c r="H71" s="22" t="n">
        <f aca="false">IF($B71="",0,'Sismo 2 Distribucion'!$C$5*E71/IF(C71="X",$C$43,$C$44))</f>
        <v>0</v>
      </c>
      <c r="I71" s="22" t="n">
        <f aca="false">IF(OR($B71="",SUM($G$58:$G$71)=0),0,'Sismo 2 Distribucion'!$C$5*IF(C71="X",$C$53,$C$51)*E71*F71/SUM($G$58:$G$71))</f>
        <v>0</v>
      </c>
      <c r="J71" s="22" t="n">
        <f aca="false">IF(OR($B71="",SUM($G$58:$G$71)=0),0,'Sismo 2 Distribucion'!$C$5*IF(C71="X",$C$54,$C$52)*E71*F71/SUM($G$58:$G$71))</f>
        <v>0</v>
      </c>
      <c r="K71" s="31" t="n">
        <f aca="false">H71+MAX(0,I71,J71)</f>
        <v>0</v>
      </c>
    </row>
    <row r="72" customFormat="false" ht="15" hidden="false" customHeight="false" outlineLevel="0" collapsed="false">
      <c r="B72" s="17" t="s">
        <v>574</v>
      </c>
      <c r="H72" s="22" t="n">
        <f aca="false">SUMIF(C58:C71,"X",H58:H71)</f>
        <v>244.311333333333</v>
      </c>
      <c r="I72" s="15" t="str">
        <f aca="false">IF(ABS(H72-'Sismo 2 Distribucion'!$C$5)&lt;0.01*'Sismo 2 Distribucion'!$C$5,"OK","REVISAR")</f>
        <v>OK</v>
      </c>
    </row>
    <row r="73" customFormat="false" ht="15" hidden="false" customHeight="false" outlineLevel="0" collapsed="false">
      <c r="B73" s="17" t="s">
        <v>575</v>
      </c>
      <c r="H73" s="22" t="n">
        <f aca="false">SUMIF(C58:C71,"Y",H58:H71)</f>
        <v>244.311333333333</v>
      </c>
      <c r="I73" s="15" t="str">
        <f aca="false">IF(ABS(H73-'Sismo 2 Distribucion'!$C$5)&lt;0.01*'Sismo 2 Distribucion'!$C$5,"OK","REVISAR")</f>
        <v>OK</v>
      </c>
    </row>
    <row r="74" customFormat="false" ht="55.5" hidden="false" customHeight="true" outlineLevel="0" collapsed="false">
      <c r="B74" s="2" t="s">
        <v>576</v>
      </c>
      <c r="C74" s="2"/>
      <c r="D74" s="2"/>
      <c r="E74" s="2"/>
      <c r="F74" s="2"/>
      <c r="G74" s="2"/>
      <c r="H74" s="2"/>
      <c r="I74" s="2"/>
      <c r="J74" s="2"/>
      <c r="K74" s="2"/>
    </row>
  </sheetData>
  <mergeCells count="10">
    <mergeCell ref="A1:Q1"/>
    <mergeCell ref="A2:Q2"/>
    <mergeCell ref="B4:J4"/>
    <mergeCell ref="C6:D6"/>
    <mergeCell ref="B10:J10"/>
    <mergeCell ref="B12:F12"/>
    <mergeCell ref="B25:R25"/>
    <mergeCell ref="B42:J42"/>
    <mergeCell ref="B56:J56"/>
    <mergeCell ref="B74:K74"/>
  </mergeCells>
  <conditionalFormatting sqref="I72:I73">
    <cfRule type="expression" priority="2" aboveAverage="0" equalAverage="0" bottom="0" percent="0" rank="0" text="" dxfId="0">
      <formula>ISNUMBER(SEARCH("NO ",I72))</formula>
    </cfRule>
    <cfRule type="expression" priority="3" aboveAverage="0" equalAverage="0" bottom="0" percent="0" rank="0" text="" dxfId="1">
      <formula>OR(ISNUMBER(SEARCH("REVISAR",I72)),ISNUMBER(SEARCH("AUMENTAR",I72)))</formula>
    </cfRule>
    <cfRule type="expression" priority="4" aboveAverage="0" equalAverage="0" bottom="0" percent="0" rank="0" text="" dxfId="2">
      <formula>OR(I72="CUMPLE",I72="OK",I72="VERIFICA")</formula>
    </cfRule>
  </conditionalFormatting>
  <dataValidations count="3">
    <dataValidation allowBlank="true" error="Elegí un valor de la lista" errorStyle="stop" errorTitle="Valor no válido" operator="between" showDropDown="false" showErrorMessage="false" showInputMessage="false" sqref="C6" type="list">
      <formula1>"Baja o nula (0 %),Media (5 %),Extrema (10 %)"</formula1>
      <formula2>0</formula2>
    </dataValidation>
    <dataValidation allowBlank="true" error="Elegí un valor de la lista" errorStyle="stop" errorTitle="Valor no válido" operator="between" showDropDown="false" showErrorMessage="false" showInputMessage="false" sqref="C27:C40" type="list">
      <formula1>"X,Y"</formula1>
      <formula2>0</formula2>
    </dataValidation>
    <dataValidation allowBlank="true" error="Elegí un valor de la lista" errorStyle="stop" errorTitle="Valor no válido" operator="between" showDropDown="false" showErrorMessage="false" showInputMessage="false" sqref="D27:D40" type="list">
      <formula1>"Muro de mampostería,Tabique de H°A°,Pórtico u otro (R 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Q3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8" min="2" style="0" width="12"/>
  </cols>
  <sheetData>
    <row r="1" customFormat="false" ht="27.75" hidden="false" customHeight="true" outlineLevel="0" collapsed="false">
      <c r="A1" s="1" t="s">
        <v>577</v>
      </c>
      <c r="B1" s="1"/>
      <c r="C1" s="1"/>
      <c r="D1" s="1"/>
      <c r="E1" s="1"/>
      <c r="F1" s="1"/>
      <c r="G1" s="1"/>
      <c r="H1" s="1"/>
      <c r="I1" s="1"/>
      <c r="J1" s="1"/>
      <c r="K1" s="1"/>
      <c r="L1" s="1"/>
      <c r="M1" s="1"/>
      <c r="N1" s="1"/>
      <c r="O1" s="1"/>
      <c r="P1" s="1"/>
      <c r="Q1" s="1"/>
    </row>
    <row r="2" customFormat="false" ht="30" hidden="false" customHeight="true" outlineLevel="0" collapsed="false">
      <c r="A2" s="2" t="s">
        <v>578</v>
      </c>
      <c r="B2" s="2"/>
      <c r="C2" s="2"/>
      <c r="D2" s="2"/>
      <c r="E2" s="2"/>
      <c r="F2" s="2"/>
      <c r="G2" s="2"/>
      <c r="H2" s="2"/>
      <c r="I2" s="2"/>
      <c r="J2" s="2"/>
      <c r="K2" s="2"/>
      <c r="L2" s="2"/>
      <c r="M2" s="2"/>
      <c r="N2" s="2"/>
      <c r="O2" s="2"/>
      <c r="P2" s="2"/>
      <c r="Q2" s="2"/>
    </row>
    <row r="4" customFormat="false" ht="19.5" hidden="false" customHeight="true" outlineLevel="0" collapsed="false">
      <c r="B4" s="3" t="s">
        <v>579</v>
      </c>
      <c r="C4" s="3"/>
      <c r="D4" s="3"/>
      <c r="E4" s="3"/>
      <c r="F4" s="3"/>
      <c r="G4" s="3"/>
      <c r="H4" s="3"/>
      <c r="I4" s="3"/>
      <c r="J4" s="3"/>
      <c r="K4" s="3"/>
      <c r="L4" s="3"/>
      <c r="M4" s="3"/>
      <c r="N4" s="3"/>
    </row>
    <row r="5" customFormat="false" ht="69.75" hidden="false" customHeight="true" outlineLevel="0" collapsed="false">
      <c r="B5" s="11" t="s">
        <v>527</v>
      </c>
      <c r="C5" s="11" t="s">
        <v>567</v>
      </c>
      <c r="D5" s="11" t="s">
        <v>530</v>
      </c>
      <c r="E5" s="11" t="s">
        <v>531</v>
      </c>
      <c r="F5" s="11" t="s">
        <v>580</v>
      </c>
      <c r="G5" s="11" t="s">
        <v>581</v>
      </c>
      <c r="H5" s="11" t="s">
        <v>582</v>
      </c>
      <c r="I5" s="11" t="s">
        <v>583</v>
      </c>
      <c r="J5" s="11" t="s">
        <v>336</v>
      </c>
      <c r="K5" s="11" t="s">
        <v>584</v>
      </c>
      <c r="L5" s="11" t="s">
        <v>585</v>
      </c>
      <c r="M5" s="11" t="s">
        <v>586</v>
      </c>
      <c r="N5" s="11" t="s">
        <v>236</v>
      </c>
    </row>
    <row r="6" customFormat="false" ht="15" hidden="false" customHeight="false" outlineLevel="0" collapsed="false">
      <c r="B6" s="7" t="str">
        <f aca="false">IF(AND('Sismo 2 Distribucion'!$D$27="Muro de mampostería",'Sismo 2 Distribucion'!$B$27&lt;&gt;""),'Sismo 2 Distribucion'!$B$27,"")</f>
        <v>MX1</v>
      </c>
      <c r="C6" s="7" t="str">
        <f aca="false">IF(AND('Sismo 2 Distribucion'!$D$27="Muro de mampostería",'Sismo 2 Distribucion'!$B$27&lt;&gt;""),'Sismo 2 Distribucion'!$C$27,"")</f>
        <v>X</v>
      </c>
      <c r="D6" s="55" t="n">
        <f aca="false">IF(AND('Sismo 2 Distribucion'!$D$27="Muro de mampostería",'Sismo 2 Distribucion'!$B$27&lt;&gt;""),'Sismo 2 Distribucion'!$E$27,"")</f>
        <v>0.18</v>
      </c>
      <c r="E6" s="38" t="n">
        <f aca="false">IF(AND('Sismo 2 Distribucion'!$D$27="Muro de mampostería",'Sismo 2 Distribucion'!$B$27&lt;&gt;""),'Sismo 2 Distribucion'!$F$27,"")</f>
        <v>8</v>
      </c>
      <c r="F6" s="30" t="n">
        <f aca="false">IF(B6="","",D6*E6)</f>
        <v>1.44</v>
      </c>
      <c r="G6" s="34" t="n">
        <v>150</v>
      </c>
      <c r="H6" s="33" t="n">
        <f aca="false">IF(B6="","",N(G6)*(1-'Sismo 1 Accion'!$C$38))</f>
        <v>120</v>
      </c>
      <c r="I6" s="30" t="n">
        <f aca="false">IF(B6="","",H6/F6/1000)</f>
        <v>0.0833333333333333</v>
      </c>
      <c r="J6" s="41" t="n">
        <f aca="false">IF(B6="","",'Sismo 2 Distribucion'!$K$58)</f>
        <v>109.225091697528</v>
      </c>
      <c r="K6" s="33" t="n">
        <f aca="false">IF(B6="","",MIN(Datos!$C$41+0.4*I6,2*Datos!$C$41)*F6*1000)</f>
        <v>321.6</v>
      </c>
      <c r="L6" s="39" t="n">
        <f aca="false">IF(B6="","",0.8*K6)</f>
        <v>257.28</v>
      </c>
      <c r="M6" s="22" t="n">
        <f aca="false">IF(B6="","",J6/L6)</f>
        <v>0.424537825316882</v>
      </c>
      <c r="N6" s="15" t="str">
        <f aca="false">IF(B6="","",IF(J6&lt;=L6,"CUMPLE","NO CUMPLE"))</f>
        <v>CUMPLE</v>
      </c>
    </row>
    <row r="7" customFormat="false" ht="15" hidden="false" customHeight="false" outlineLevel="0" collapsed="false">
      <c r="B7" s="7" t="str">
        <f aca="false">IF(AND('Sismo 2 Distribucion'!$D$28="Muro de mampostería",'Sismo 2 Distribucion'!$B$28&lt;&gt;""),'Sismo 2 Distribucion'!$B$28,"")</f>
        <v>MX2</v>
      </c>
      <c r="C7" s="7" t="str">
        <f aca="false">IF(AND('Sismo 2 Distribucion'!$D$28="Muro de mampostería",'Sismo 2 Distribucion'!$B$28&lt;&gt;""),'Sismo 2 Distribucion'!$C$28,"")</f>
        <v>X</v>
      </c>
      <c r="D7" s="55" t="n">
        <f aca="false">IF(AND('Sismo 2 Distribucion'!$D$28="Muro de mampostería",'Sismo 2 Distribucion'!$B$28&lt;&gt;""),'Sismo 2 Distribucion'!$E$28,"")</f>
        <v>0.18</v>
      </c>
      <c r="E7" s="38" t="n">
        <f aca="false">IF(AND('Sismo 2 Distribucion'!$D$28="Muro de mampostería",'Sismo 2 Distribucion'!$B$28&lt;&gt;""),'Sismo 2 Distribucion'!$F$28,"")</f>
        <v>3</v>
      </c>
      <c r="F7" s="30" t="n">
        <f aca="false">IF(B7="","",D7*E7)</f>
        <v>0.54</v>
      </c>
      <c r="G7" s="34" t="n">
        <v>60</v>
      </c>
      <c r="H7" s="33" t="n">
        <f aca="false">IF(B7="","",N(G7)*(1-'Sismo 1 Accion'!$C$38))</f>
        <v>48</v>
      </c>
      <c r="I7" s="30" t="n">
        <f aca="false">IF(B7="","",H7/F7/1000)</f>
        <v>0.0888888888888889</v>
      </c>
      <c r="J7" s="41" t="n">
        <f aca="false">IF(B7="","",'Sismo 2 Distribucion'!$K$59)</f>
        <v>25.8611499382783</v>
      </c>
      <c r="K7" s="33" t="n">
        <f aca="false">IF(B7="","",MIN(Datos!$C$41+0.4*I7,2*Datos!$C$41)*F7*1000)</f>
        <v>121.8</v>
      </c>
      <c r="L7" s="39" t="n">
        <f aca="false">IF(B7="","",0.8*K7)</f>
        <v>97.44</v>
      </c>
      <c r="M7" s="22" t="n">
        <f aca="false">IF(B7="","",J7/L7)</f>
        <v>0.265405890171165</v>
      </c>
      <c r="N7" s="15" t="str">
        <f aca="false">IF(B7="","",IF(J7&lt;=L7,"CUMPLE","NO CUMPLE"))</f>
        <v>CUMPLE</v>
      </c>
    </row>
    <row r="8" customFormat="false" ht="15" hidden="false" customHeight="false" outlineLevel="0" collapsed="false">
      <c r="B8" s="7" t="str">
        <f aca="false">IF(AND('Sismo 2 Distribucion'!$D$29="Muro de mampostería",'Sismo 2 Distribucion'!$B$29&lt;&gt;""),'Sismo 2 Distribucion'!$B$29,"")</f>
        <v>MX3</v>
      </c>
      <c r="C8" s="7" t="str">
        <f aca="false">IF(AND('Sismo 2 Distribucion'!$D$29="Muro de mampostería",'Sismo 2 Distribucion'!$B$29&lt;&gt;""),'Sismo 2 Distribucion'!$C$29,"")</f>
        <v>X</v>
      </c>
      <c r="D8" s="55" t="n">
        <f aca="false">IF(AND('Sismo 2 Distribucion'!$D$29="Muro de mampostería",'Sismo 2 Distribucion'!$B$29&lt;&gt;""),'Sismo 2 Distribucion'!$E$29,"")</f>
        <v>0.18</v>
      </c>
      <c r="E8" s="38" t="n">
        <f aca="false">IF(AND('Sismo 2 Distribucion'!$D$29="Muro de mampostería",'Sismo 2 Distribucion'!$B$29&lt;&gt;""),'Sismo 2 Distribucion'!$F$29,"")</f>
        <v>8</v>
      </c>
      <c r="F8" s="30" t="n">
        <f aca="false">IF(B8="","",D8*E8)</f>
        <v>1.44</v>
      </c>
      <c r="G8" s="34" t="n">
        <v>150</v>
      </c>
      <c r="H8" s="33" t="n">
        <f aca="false">IF(B8="","",N(G8)*(1-'Sismo 1 Accion'!$C$38))</f>
        <v>120</v>
      </c>
      <c r="I8" s="30" t="n">
        <f aca="false">IF(B8="","",H8/F8/1000)</f>
        <v>0.0833333333333333</v>
      </c>
      <c r="J8" s="41" t="n">
        <f aca="false">IF(B8="","",'Sismo 2 Distribucion'!$K$60)</f>
        <v>130.603240724046</v>
      </c>
      <c r="K8" s="33" t="n">
        <f aca="false">IF(B8="","",MIN(Datos!$C$41+0.4*I8,2*Datos!$C$41)*F8*1000)</f>
        <v>321.6</v>
      </c>
      <c r="L8" s="39" t="n">
        <f aca="false">IF(B8="","",0.8*K8)</f>
        <v>257.28</v>
      </c>
      <c r="M8" s="22" t="n">
        <f aca="false">IF(B8="","",J8/L8)</f>
        <v>0.507630755301796</v>
      </c>
      <c r="N8" s="15" t="str">
        <f aca="false">IF(B8="","",IF(J8&lt;=L8,"CUMPLE","NO CUMPLE"))</f>
        <v>CUMPLE</v>
      </c>
    </row>
    <row r="9" customFormat="false" ht="15" hidden="false" customHeight="false" outlineLevel="0" collapsed="false">
      <c r="B9" s="7" t="str">
        <f aca="false">IF(AND('Sismo 2 Distribucion'!$D$30="Muro de mampostería",'Sismo 2 Distribucion'!$B$30&lt;&gt;""),'Sismo 2 Distribucion'!$B$30,"")</f>
        <v>MY1</v>
      </c>
      <c r="C9" s="7" t="str">
        <f aca="false">IF(AND('Sismo 2 Distribucion'!$D$30="Muro de mampostería",'Sismo 2 Distribucion'!$B$30&lt;&gt;""),'Sismo 2 Distribucion'!$C$30,"")</f>
        <v>Y</v>
      </c>
      <c r="D9" s="55" t="n">
        <f aca="false">IF(AND('Sismo 2 Distribucion'!$D$30="Muro de mampostería",'Sismo 2 Distribucion'!$B$30&lt;&gt;""),'Sismo 2 Distribucion'!$E$30,"")</f>
        <v>0.18</v>
      </c>
      <c r="E9" s="38" t="n">
        <f aca="false">IF(AND('Sismo 2 Distribucion'!$D$30="Muro de mampostería",'Sismo 2 Distribucion'!$B$30&lt;&gt;""),'Sismo 2 Distribucion'!$F$30,"")</f>
        <v>10</v>
      </c>
      <c r="F9" s="30" t="n">
        <f aca="false">IF(B9="","",D9*E9)</f>
        <v>1.8</v>
      </c>
      <c r="G9" s="34" t="n">
        <v>200</v>
      </c>
      <c r="H9" s="33" t="n">
        <f aca="false">IF(B9="","",N(G9)*(1-'Sismo 1 Accion'!$C$38))</f>
        <v>160</v>
      </c>
      <c r="I9" s="30" t="n">
        <f aca="false">IF(B9="","",H9/F9/1000)</f>
        <v>0.0888888888888889</v>
      </c>
      <c r="J9" s="41" t="n">
        <f aca="false">IF(B9="","",'Sismo 2 Distribucion'!$K$61)</f>
        <v>111.747799481727</v>
      </c>
      <c r="K9" s="33" t="n">
        <f aca="false">IF(B9="","",MIN(Datos!$C$41+0.4*I9,2*Datos!$C$41)*F9*1000)</f>
        <v>406</v>
      </c>
      <c r="L9" s="39" t="n">
        <f aca="false">IF(B9="","",0.8*K9)</f>
        <v>324.8</v>
      </c>
      <c r="M9" s="22" t="n">
        <f aca="false">IF(B9="","",J9/L9)</f>
        <v>0.344051106778715</v>
      </c>
      <c r="N9" s="15" t="str">
        <f aca="false">IF(B9="","",IF(J9&lt;=L9,"CUMPLE","NO CUMPLE"))</f>
        <v>CUMPLE</v>
      </c>
    </row>
    <row r="10" customFormat="false" ht="15" hidden="false" customHeight="false" outlineLevel="0" collapsed="false">
      <c r="B10" s="7" t="str">
        <f aca="false">IF(AND('Sismo 2 Distribucion'!$D$31="Muro de mampostería",'Sismo 2 Distribucion'!$B$31&lt;&gt;""),'Sismo 2 Distribucion'!$B$31,"")</f>
        <v>MY2</v>
      </c>
      <c r="C10" s="7" t="str">
        <f aca="false">IF(AND('Sismo 2 Distribucion'!$D$31="Muro de mampostería",'Sismo 2 Distribucion'!$B$31&lt;&gt;""),'Sismo 2 Distribucion'!$C$31,"")</f>
        <v>Y</v>
      </c>
      <c r="D10" s="55" t="n">
        <f aca="false">IF(AND('Sismo 2 Distribucion'!$D$31="Muro de mampostería",'Sismo 2 Distribucion'!$B$31&lt;&gt;""),'Sismo 2 Distribucion'!$E$31,"")</f>
        <v>0.18</v>
      </c>
      <c r="E10" s="38" t="n">
        <f aca="false">IF(AND('Sismo 2 Distribucion'!$D$31="Muro de mampostería",'Sismo 2 Distribucion'!$B$31&lt;&gt;""),'Sismo 2 Distribucion'!$F$31,"")</f>
        <v>4</v>
      </c>
      <c r="F10" s="30" t="n">
        <f aca="false">IF(B10="","",D10*E10)</f>
        <v>0.72</v>
      </c>
      <c r="G10" s="34" t="n">
        <v>80</v>
      </c>
      <c r="H10" s="33" t="n">
        <f aca="false">IF(B10="","",N(G10)*(1-'Sismo 1 Accion'!$C$38))</f>
        <v>64</v>
      </c>
      <c r="I10" s="30" t="n">
        <f aca="false">IF(B10="","",H10/F10/1000)</f>
        <v>0.0888888888888889</v>
      </c>
      <c r="J10" s="41" t="n">
        <f aca="false">IF(B10="","",'Sismo 2 Distribucion'!$K$62)</f>
        <v>31.8855245616394</v>
      </c>
      <c r="K10" s="33" t="n">
        <f aca="false">IF(B10="","",MIN(Datos!$C$41+0.4*I10,2*Datos!$C$41)*F10*1000)</f>
        <v>162.4</v>
      </c>
      <c r="L10" s="39" t="n">
        <f aca="false">IF(B10="","",0.8*K10)</f>
        <v>129.92</v>
      </c>
      <c r="M10" s="22" t="n">
        <f aca="false">IF(B10="","",J10/L10)</f>
        <v>0.245424296194885</v>
      </c>
      <c r="N10" s="15" t="str">
        <f aca="false">IF(B10="","",IF(J10&lt;=L10,"CUMPLE","NO CUMPLE"))</f>
        <v>CUMPLE</v>
      </c>
    </row>
    <row r="11" customFormat="false" ht="15" hidden="false" customHeight="false" outlineLevel="0" collapsed="false">
      <c r="B11" s="7" t="str">
        <f aca="false">IF(AND('Sismo 2 Distribucion'!$D$32="Muro de mampostería",'Sismo 2 Distribucion'!$B$32&lt;&gt;""),'Sismo 2 Distribucion'!$B$32,"")</f>
        <v>MY3</v>
      </c>
      <c r="C11" s="7" t="str">
        <f aca="false">IF(AND('Sismo 2 Distribucion'!$D$32="Muro de mampostería",'Sismo 2 Distribucion'!$B$32&lt;&gt;""),'Sismo 2 Distribucion'!$C$32,"")</f>
        <v>Y</v>
      </c>
      <c r="D11" s="55" t="n">
        <f aca="false">IF(AND('Sismo 2 Distribucion'!$D$32="Muro de mampostería",'Sismo 2 Distribucion'!$B$32&lt;&gt;""),'Sismo 2 Distribucion'!$E$32,"")</f>
        <v>0.18</v>
      </c>
      <c r="E11" s="38" t="n">
        <f aca="false">IF(AND('Sismo 2 Distribucion'!$D$32="Muro de mampostería",'Sismo 2 Distribucion'!$B$32&lt;&gt;""),'Sismo 2 Distribucion'!$F$32,"")</f>
        <v>10</v>
      </c>
      <c r="F11" s="30" t="n">
        <f aca="false">IF(B11="","",D11*E11)</f>
        <v>1.8</v>
      </c>
      <c r="G11" s="34" t="n">
        <v>200</v>
      </c>
      <c r="H11" s="33" t="n">
        <f aca="false">IF(B11="","",N(G11)*(1-'Sismo 1 Accion'!$C$38))</f>
        <v>160</v>
      </c>
      <c r="I11" s="30" t="n">
        <f aca="false">IF(B11="","",H11/F11/1000)</f>
        <v>0.0888888888888889</v>
      </c>
      <c r="J11" s="41" t="n">
        <f aca="false">IF(B11="","",'Sismo 2 Distribucion'!$K$63)</f>
        <v>111.747799481727</v>
      </c>
      <c r="K11" s="33" t="n">
        <f aca="false">IF(B11="","",MIN(Datos!$C$41+0.4*I11,2*Datos!$C$41)*F11*1000)</f>
        <v>406</v>
      </c>
      <c r="L11" s="39" t="n">
        <f aca="false">IF(B11="","",0.8*K11)</f>
        <v>324.8</v>
      </c>
      <c r="M11" s="22" t="n">
        <f aca="false">IF(B11="","",J11/L11)</f>
        <v>0.344051106778715</v>
      </c>
      <c r="N11" s="15" t="str">
        <f aca="false">IF(B11="","",IF(J11&lt;=L11,"CUMPLE","NO CUMPLE"))</f>
        <v>CUMPLE</v>
      </c>
    </row>
    <row r="12" customFormat="false" ht="15" hidden="false" customHeight="false" outlineLevel="0" collapsed="false">
      <c r="B12" s="7" t="str">
        <f aca="false">IF(AND('Sismo 2 Distribucion'!$D$33="Muro de mampostería",'Sismo 2 Distribucion'!$B$33&lt;&gt;""),'Sismo 2 Distribucion'!$B$33,"")</f>
        <v/>
      </c>
      <c r="C12" s="7" t="str">
        <f aca="false">IF(AND('Sismo 2 Distribucion'!$D$33="Muro de mampostería",'Sismo 2 Distribucion'!$B$33&lt;&gt;""),'Sismo 2 Distribucion'!$C$33,"")</f>
        <v/>
      </c>
      <c r="D12" s="55" t="str">
        <f aca="false">IF(AND('Sismo 2 Distribucion'!$D$33="Muro de mampostería",'Sismo 2 Distribucion'!$B$33&lt;&gt;""),'Sismo 2 Distribucion'!$E$33,"")</f>
        <v/>
      </c>
      <c r="E12" s="38" t="str">
        <f aca="false">IF(AND('Sismo 2 Distribucion'!$D$33="Muro de mampostería",'Sismo 2 Distribucion'!$B$33&lt;&gt;""),'Sismo 2 Distribucion'!$F$33,"")</f>
        <v/>
      </c>
      <c r="F12" s="30" t="str">
        <f aca="false">IF(B12="","",D12*E12)</f>
        <v/>
      </c>
      <c r="G12" s="34"/>
      <c r="H12" s="33" t="str">
        <f aca="false">IF(B12="","",N(G12)*(1-'Sismo 1 Accion'!$C$38))</f>
        <v/>
      </c>
      <c r="I12" s="30" t="str">
        <f aca="false">IF(B12="","",H12/F12/1000)</f>
        <v/>
      </c>
      <c r="J12" s="41" t="str">
        <f aca="false">IF(B12="","",'Sismo 2 Distribucion'!$K$64)</f>
        <v/>
      </c>
      <c r="K12" s="33" t="str">
        <f aca="false">IF(B12="","",MIN(Datos!$C$41+0.4*I12,2*Datos!$C$41)*F12*1000)</f>
        <v/>
      </c>
      <c r="L12" s="39" t="str">
        <f aca="false">IF(B12="","",0.8*K12)</f>
        <v/>
      </c>
      <c r="M12" s="22" t="str">
        <f aca="false">IF(B12="","",J12/L12)</f>
        <v/>
      </c>
      <c r="N12" s="15" t="str">
        <f aca="false">IF(B12="","",IF(J12&lt;=L12,"CUMPLE","NO CUMPLE"))</f>
        <v/>
      </c>
    </row>
    <row r="13" customFormat="false" ht="15" hidden="false" customHeight="false" outlineLevel="0" collapsed="false">
      <c r="B13" s="7" t="str">
        <f aca="false">IF(AND('Sismo 2 Distribucion'!$D$34="Muro de mampostería",'Sismo 2 Distribucion'!$B$34&lt;&gt;""),'Sismo 2 Distribucion'!$B$34,"")</f>
        <v/>
      </c>
      <c r="C13" s="7" t="str">
        <f aca="false">IF(AND('Sismo 2 Distribucion'!$D$34="Muro de mampostería",'Sismo 2 Distribucion'!$B$34&lt;&gt;""),'Sismo 2 Distribucion'!$C$34,"")</f>
        <v/>
      </c>
      <c r="D13" s="55" t="str">
        <f aca="false">IF(AND('Sismo 2 Distribucion'!$D$34="Muro de mampostería",'Sismo 2 Distribucion'!$B$34&lt;&gt;""),'Sismo 2 Distribucion'!$E$34,"")</f>
        <v/>
      </c>
      <c r="E13" s="38" t="str">
        <f aca="false">IF(AND('Sismo 2 Distribucion'!$D$34="Muro de mampostería",'Sismo 2 Distribucion'!$B$34&lt;&gt;""),'Sismo 2 Distribucion'!$F$34,"")</f>
        <v/>
      </c>
      <c r="F13" s="30" t="str">
        <f aca="false">IF(B13="","",D13*E13)</f>
        <v/>
      </c>
      <c r="G13" s="34"/>
      <c r="H13" s="33" t="str">
        <f aca="false">IF(B13="","",N(G13)*(1-'Sismo 1 Accion'!$C$38))</f>
        <v/>
      </c>
      <c r="I13" s="30" t="str">
        <f aca="false">IF(B13="","",H13/F13/1000)</f>
        <v/>
      </c>
      <c r="J13" s="41" t="str">
        <f aca="false">IF(B13="","",'Sismo 2 Distribucion'!$K$65)</f>
        <v/>
      </c>
      <c r="K13" s="33" t="str">
        <f aca="false">IF(B13="","",MIN(Datos!$C$41+0.4*I13,2*Datos!$C$41)*F13*1000)</f>
        <v/>
      </c>
      <c r="L13" s="39" t="str">
        <f aca="false">IF(B13="","",0.8*K13)</f>
        <v/>
      </c>
      <c r="M13" s="22" t="str">
        <f aca="false">IF(B13="","",J13/L13)</f>
        <v/>
      </c>
      <c r="N13" s="15" t="str">
        <f aca="false">IF(B13="","",IF(J13&lt;=L13,"CUMPLE","NO CUMPLE"))</f>
        <v/>
      </c>
    </row>
    <row r="14" customFormat="false" ht="15" hidden="false" customHeight="false" outlineLevel="0" collapsed="false">
      <c r="B14" s="7" t="str">
        <f aca="false">IF(AND('Sismo 2 Distribucion'!$D$35="Muro de mampostería",'Sismo 2 Distribucion'!$B$35&lt;&gt;""),'Sismo 2 Distribucion'!$B$35,"")</f>
        <v/>
      </c>
      <c r="C14" s="7" t="str">
        <f aca="false">IF(AND('Sismo 2 Distribucion'!$D$35="Muro de mampostería",'Sismo 2 Distribucion'!$B$35&lt;&gt;""),'Sismo 2 Distribucion'!$C$35,"")</f>
        <v/>
      </c>
      <c r="D14" s="55" t="str">
        <f aca="false">IF(AND('Sismo 2 Distribucion'!$D$35="Muro de mampostería",'Sismo 2 Distribucion'!$B$35&lt;&gt;""),'Sismo 2 Distribucion'!$E$35,"")</f>
        <v/>
      </c>
      <c r="E14" s="38" t="str">
        <f aca="false">IF(AND('Sismo 2 Distribucion'!$D$35="Muro de mampostería",'Sismo 2 Distribucion'!$B$35&lt;&gt;""),'Sismo 2 Distribucion'!$F$35,"")</f>
        <v/>
      </c>
      <c r="F14" s="30" t="str">
        <f aca="false">IF(B14="","",D14*E14)</f>
        <v/>
      </c>
      <c r="G14" s="34"/>
      <c r="H14" s="33" t="str">
        <f aca="false">IF(B14="","",N(G14)*(1-'Sismo 1 Accion'!$C$38))</f>
        <v/>
      </c>
      <c r="I14" s="30" t="str">
        <f aca="false">IF(B14="","",H14/F14/1000)</f>
        <v/>
      </c>
      <c r="J14" s="41" t="str">
        <f aca="false">IF(B14="","",'Sismo 2 Distribucion'!$K$66)</f>
        <v/>
      </c>
      <c r="K14" s="33" t="str">
        <f aca="false">IF(B14="","",MIN(Datos!$C$41+0.4*I14,2*Datos!$C$41)*F14*1000)</f>
        <v/>
      </c>
      <c r="L14" s="39" t="str">
        <f aca="false">IF(B14="","",0.8*K14)</f>
        <v/>
      </c>
      <c r="M14" s="22" t="str">
        <f aca="false">IF(B14="","",J14/L14)</f>
        <v/>
      </c>
      <c r="N14" s="15" t="str">
        <f aca="false">IF(B14="","",IF(J14&lt;=L14,"CUMPLE","NO CUMPLE"))</f>
        <v/>
      </c>
    </row>
    <row r="15" customFormat="false" ht="15" hidden="false" customHeight="false" outlineLevel="0" collapsed="false">
      <c r="B15" s="7" t="str">
        <f aca="false">IF(AND('Sismo 2 Distribucion'!$D$36="Muro de mampostería",'Sismo 2 Distribucion'!$B$36&lt;&gt;""),'Sismo 2 Distribucion'!$B$36,"")</f>
        <v/>
      </c>
      <c r="C15" s="7" t="str">
        <f aca="false">IF(AND('Sismo 2 Distribucion'!$D$36="Muro de mampostería",'Sismo 2 Distribucion'!$B$36&lt;&gt;""),'Sismo 2 Distribucion'!$C$36,"")</f>
        <v/>
      </c>
      <c r="D15" s="55" t="str">
        <f aca="false">IF(AND('Sismo 2 Distribucion'!$D$36="Muro de mampostería",'Sismo 2 Distribucion'!$B$36&lt;&gt;""),'Sismo 2 Distribucion'!$E$36,"")</f>
        <v/>
      </c>
      <c r="E15" s="38" t="str">
        <f aca="false">IF(AND('Sismo 2 Distribucion'!$D$36="Muro de mampostería",'Sismo 2 Distribucion'!$B$36&lt;&gt;""),'Sismo 2 Distribucion'!$F$36,"")</f>
        <v/>
      </c>
      <c r="F15" s="30" t="str">
        <f aca="false">IF(B15="","",D15*E15)</f>
        <v/>
      </c>
      <c r="G15" s="34"/>
      <c r="H15" s="33" t="str">
        <f aca="false">IF(B15="","",N(G15)*(1-'Sismo 1 Accion'!$C$38))</f>
        <v/>
      </c>
      <c r="I15" s="30" t="str">
        <f aca="false">IF(B15="","",H15/F15/1000)</f>
        <v/>
      </c>
      <c r="J15" s="41" t="str">
        <f aca="false">IF(B15="","",'Sismo 2 Distribucion'!$K$67)</f>
        <v/>
      </c>
      <c r="K15" s="33" t="str">
        <f aca="false">IF(B15="","",MIN(Datos!$C$41+0.4*I15,2*Datos!$C$41)*F15*1000)</f>
        <v/>
      </c>
      <c r="L15" s="39" t="str">
        <f aca="false">IF(B15="","",0.8*K15)</f>
        <v/>
      </c>
      <c r="M15" s="22" t="str">
        <f aca="false">IF(B15="","",J15/L15)</f>
        <v/>
      </c>
      <c r="N15" s="15" t="str">
        <f aca="false">IF(B15="","",IF(J15&lt;=L15,"CUMPLE","NO CUMPLE"))</f>
        <v/>
      </c>
    </row>
    <row r="16" customFormat="false" ht="15" hidden="false" customHeight="false" outlineLevel="0" collapsed="false">
      <c r="B16" s="7" t="str">
        <f aca="false">IF(AND('Sismo 2 Distribucion'!$D$37="Muro de mampostería",'Sismo 2 Distribucion'!$B$37&lt;&gt;""),'Sismo 2 Distribucion'!$B$37,"")</f>
        <v/>
      </c>
      <c r="C16" s="7" t="str">
        <f aca="false">IF(AND('Sismo 2 Distribucion'!$D$37="Muro de mampostería",'Sismo 2 Distribucion'!$B$37&lt;&gt;""),'Sismo 2 Distribucion'!$C$37,"")</f>
        <v/>
      </c>
      <c r="D16" s="55" t="str">
        <f aca="false">IF(AND('Sismo 2 Distribucion'!$D$37="Muro de mampostería",'Sismo 2 Distribucion'!$B$37&lt;&gt;""),'Sismo 2 Distribucion'!$E$37,"")</f>
        <v/>
      </c>
      <c r="E16" s="38" t="str">
        <f aca="false">IF(AND('Sismo 2 Distribucion'!$D$37="Muro de mampostería",'Sismo 2 Distribucion'!$B$37&lt;&gt;""),'Sismo 2 Distribucion'!$F$37,"")</f>
        <v/>
      </c>
      <c r="F16" s="30" t="str">
        <f aca="false">IF(B16="","",D16*E16)</f>
        <v/>
      </c>
      <c r="G16" s="34"/>
      <c r="H16" s="33" t="str">
        <f aca="false">IF(B16="","",N(G16)*(1-'Sismo 1 Accion'!$C$38))</f>
        <v/>
      </c>
      <c r="I16" s="30" t="str">
        <f aca="false">IF(B16="","",H16/F16/1000)</f>
        <v/>
      </c>
      <c r="J16" s="41" t="str">
        <f aca="false">IF(B16="","",'Sismo 2 Distribucion'!$K$68)</f>
        <v/>
      </c>
      <c r="K16" s="33" t="str">
        <f aca="false">IF(B16="","",MIN(Datos!$C$41+0.4*I16,2*Datos!$C$41)*F16*1000)</f>
        <v/>
      </c>
      <c r="L16" s="39" t="str">
        <f aca="false">IF(B16="","",0.8*K16)</f>
        <v/>
      </c>
      <c r="M16" s="22" t="str">
        <f aca="false">IF(B16="","",J16/L16)</f>
        <v/>
      </c>
      <c r="N16" s="15" t="str">
        <f aca="false">IF(B16="","",IF(J16&lt;=L16,"CUMPLE","NO CUMPLE"))</f>
        <v/>
      </c>
    </row>
    <row r="17" customFormat="false" ht="15" hidden="false" customHeight="false" outlineLevel="0" collapsed="false">
      <c r="B17" s="7" t="str">
        <f aca="false">IF(AND('Sismo 2 Distribucion'!$D$38="Muro de mampostería",'Sismo 2 Distribucion'!$B$38&lt;&gt;""),'Sismo 2 Distribucion'!$B$38,"")</f>
        <v/>
      </c>
      <c r="C17" s="7" t="str">
        <f aca="false">IF(AND('Sismo 2 Distribucion'!$D$38="Muro de mampostería",'Sismo 2 Distribucion'!$B$38&lt;&gt;""),'Sismo 2 Distribucion'!$C$38,"")</f>
        <v/>
      </c>
      <c r="D17" s="55" t="str">
        <f aca="false">IF(AND('Sismo 2 Distribucion'!$D$38="Muro de mampostería",'Sismo 2 Distribucion'!$B$38&lt;&gt;""),'Sismo 2 Distribucion'!$E$38,"")</f>
        <v/>
      </c>
      <c r="E17" s="38" t="str">
        <f aca="false">IF(AND('Sismo 2 Distribucion'!$D$38="Muro de mampostería",'Sismo 2 Distribucion'!$B$38&lt;&gt;""),'Sismo 2 Distribucion'!$F$38,"")</f>
        <v/>
      </c>
      <c r="F17" s="30" t="str">
        <f aca="false">IF(B17="","",D17*E17)</f>
        <v/>
      </c>
      <c r="G17" s="34"/>
      <c r="H17" s="33" t="str">
        <f aca="false">IF(B17="","",N(G17)*(1-'Sismo 1 Accion'!$C$38))</f>
        <v/>
      </c>
      <c r="I17" s="30" t="str">
        <f aca="false">IF(B17="","",H17/F17/1000)</f>
        <v/>
      </c>
      <c r="J17" s="41" t="str">
        <f aca="false">IF(B17="","",'Sismo 2 Distribucion'!$K$69)</f>
        <v/>
      </c>
      <c r="K17" s="33" t="str">
        <f aca="false">IF(B17="","",MIN(Datos!$C$41+0.4*I17,2*Datos!$C$41)*F17*1000)</f>
        <v/>
      </c>
      <c r="L17" s="39" t="str">
        <f aca="false">IF(B17="","",0.8*K17)</f>
        <v/>
      </c>
      <c r="M17" s="22" t="str">
        <f aca="false">IF(B17="","",J17/L17)</f>
        <v/>
      </c>
      <c r="N17" s="15" t="str">
        <f aca="false">IF(B17="","",IF(J17&lt;=L17,"CUMPLE","NO CUMPLE"))</f>
        <v/>
      </c>
    </row>
    <row r="18" customFormat="false" ht="15" hidden="false" customHeight="false" outlineLevel="0" collapsed="false">
      <c r="B18" s="7" t="str">
        <f aca="false">IF(AND('Sismo 2 Distribucion'!$D$39="Muro de mampostería",'Sismo 2 Distribucion'!$B$39&lt;&gt;""),'Sismo 2 Distribucion'!$B$39,"")</f>
        <v/>
      </c>
      <c r="C18" s="7" t="str">
        <f aca="false">IF(AND('Sismo 2 Distribucion'!$D$39="Muro de mampostería",'Sismo 2 Distribucion'!$B$39&lt;&gt;""),'Sismo 2 Distribucion'!$C$39,"")</f>
        <v/>
      </c>
      <c r="D18" s="55" t="str">
        <f aca="false">IF(AND('Sismo 2 Distribucion'!$D$39="Muro de mampostería",'Sismo 2 Distribucion'!$B$39&lt;&gt;""),'Sismo 2 Distribucion'!$E$39,"")</f>
        <v/>
      </c>
      <c r="E18" s="38" t="str">
        <f aca="false">IF(AND('Sismo 2 Distribucion'!$D$39="Muro de mampostería",'Sismo 2 Distribucion'!$B$39&lt;&gt;""),'Sismo 2 Distribucion'!$F$39,"")</f>
        <v/>
      </c>
      <c r="F18" s="30" t="str">
        <f aca="false">IF(B18="","",D18*E18)</f>
        <v/>
      </c>
      <c r="G18" s="34"/>
      <c r="H18" s="33" t="str">
        <f aca="false">IF(B18="","",N(G18)*(1-'Sismo 1 Accion'!$C$38))</f>
        <v/>
      </c>
      <c r="I18" s="30" t="str">
        <f aca="false">IF(B18="","",H18/F18/1000)</f>
        <v/>
      </c>
      <c r="J18" s="41" t="str">
        <f aca="false">IF(B18="","",'Sismo 2 Distribucion'!$K$70)</f>
        <v/>
      </c>
      <c r="K18" s="33" t="str">
        <f aca="false">IF(B18="","",MIN(Datos!$C$41+0.4*I18,2*Datos!$C$41)*F18*1000)</f>
        <v/>
      </c>
      <c r="L18" s="39" t="str">
        <f aca="false">IF(B18="","",0.8*K18)</f>
        <v/>
      </c>
      <c r="M18" s="22" t="str">
        <f aca="false">IF(B18="","",J18/L18)</f>
        <v/>
      </c>
      <c r="N18" s="15" t="str">
        <f aca="false">IF(B18="","",IF(J18&lt;=L18,"CUMPLE","NO CUMPLE"))</f>
        <v/>
      </c>
    </row>
    <row r="19" customFormat="false" ht="15" hidden="false" customHeight="false" outlineLevel="0" collapsed="false">
      <c r="B19" s="7" t="str">
        <f aca="false">IF(AND('Sismo 2 Distribucion'!$D$40="Muro de mampostería",'Sismo 2 Distribucion'!$B$40&lt;&gt;""),'Sismo 2 Distribucion'!$B$40,"")</f>
        <v/>
      </c>
      <c r="C19" s="7" t="str">
        <f aca="false">IF(AND('Sismo 2 Distribucion'!$D$40="Muro de mampostería",'Sismo 2 Distribucion'!$B$40&lt;&gt;""),'Sismo 2 Distribucion'!$C$40,"")</f>
        <v/>
      </c>
      <c r="D19" s="55" t="str">
        <f aca="false">IF(AND('Sismo 2 Distribucion'!$D$40="Muro de mampostería",'Sismo 2 Distribucion'!$B$40&lt;&gt;""),'Sismo 2 Distribucion'!$E$40,"")</f>
        <v/>
      </c>
      <c r="E19" s="38" t="str">
        <f aca="false">IF(AND('Sismo 2 Distribucion'!$D$40="Muro de mampostería",'Sismo 2 Distribucion'!$B$40&lt;&gt;""),'Sismo 2 Distribucion'!$F$40,"")</f>
        <v/>
      </c>
      <c r="F19" s="30" t="str">
        <f aca="false">IF(B19="","",D19*E19)</f>
        <v/>
      </c>
      <c r="G19" s="34"/>
      <c r="H19" s="33" t="str">
        <f aca="false">IF(B19="","",N(G19)*(1-'Sismo 1 Accion'!$C$38))</f>
        <v/>
      </c>
      <c r="I19" s="30" t="str">
        <f aca="false">IF(B19="","",H19/F19/1000)</f>
        <v/>
      </c>
      <c r="J19" s="41" t="str">
        <f aca="false">IF(B19="","",'Sismo 2 Distribucion'!$K$71)</f>
        <v/>
      </c>
      <c r="K19" s="33" t="str">
        <f aca="false">IF(B19="","",MIN(Datos!$C$41+0.4*I19,2*Datos!$C$41)*F19*1000)</f>
        <v/>
      </c>
      <c r="L19" s="39" t="str">
        <f aca="false">IF(B19="","",0.8*K19)</f>
        <v/>
      </c>
      <c r="M19" s="22" t="str">
        <f aca="false">IF(B19="","",J19/L19)</f>
        <v/>
      </c>
      <c r="N19" s="15" t="str">
        <f aca="false">IF(B19="","",IF(J19&lt;=L19,"CUMPLE","NO CUMPLE"))</f>
        <v/>
      </c>
    </row>
    <row r="20" customFormat="false" ht="55.5" hidden="false" customHeight="true" outlineLevel="0" collapsed="false">
      <c r="B20" s="2" t="s">
        <v>587</v>
      </c>
      <c r="C20" s="2"/>
      <c r="D20" s="2"/>
      <c r="E20" s="2"/>
      <c r="F20" s="2"/>
      <c r="G20" s="2"/>
      <c r="H20" s="2"/>
      <c r="I20" s="2"/>
      <c r="J20" s="2"/>
      <c r="K20" s="2"/>
      <c r="L20" s="2"/>
      <c r="M20" s="2"/>
      <c r="N20" s="2"/>
    </row>
    <row r="22" customFormat="false" ht="19.5" hidden="false" customHeight="true" outlineLevel="0" collapsed="false">
      <c r="B22" s="3" t="s">
        <v>588</v>
      </c>
      <c r="C22" s="3"/>
      <c r="D22" s="3"/>
      <c r="E22" s="3"/>
      <c r="F22" s="3"/>
      <c r="G22" s="3"/>
      <c r="H22" s="3"/>
      <c r="I22" s="3"/>
      <c r="J22" s="3"/>
      <c r="K22" s="3"/>
      <c r="L22" s="3"/>
      <c r="M22" s="3"/>
      <c r="N22" s="3"/>
      <c r="O22" s="3"/>
      <c r="P22" s="3"/>
      <c r="Q22" s="3"/>
    </row>
    <row r="23" customFormat="false" ht="55.5" hidden="false" customHeight="true" outlineLevel="0" collapsed="false">
      <c r="B23" s="11" t="s">
        <v>527</v>
      </c>
      <c r="C23" s="11" t="s">
        <v>220</v>
      </c>
      <c r="D23" s="11" t="s">
        <v>248</v>
      </c>
      <c r="E23" s="11" t="s">
        <v>589</v>
      </c>
      <c r="F23" s="11" t="s">
        <v>590</v>
      </c>
      <c r="G23" s="11" t="s">
        <v>336</v>
      </c>
      <c r="H23" s="11" t="s">
        <v>591</v>
      </c>
      <c r="I23" s="11" t="s">
        <v>592</v>
      </c>
      <c r="J23" s="11" t="s">
        <v>593</v>
      </c>
      <c r="K23" s="11" t="s">
        <v>594</v>
      </c>
      <c r="L23" s="11" t="s">
        <v>595</v>
      </c>
      <c r="M23" s="11" t="s">
        <v>596</v>
      </c>
      <c r="N23" s="11" t="s">
        <v>597</v>
      </c>
      <c r="O23" s="11" t="s">
        <v>585</v>
      </c>
      <c r="P23" s="11" t="s">
        <v>598</v>
      </c>
      <c r="Q23" s="11" t="s">
        <v>236</v>
      </c>
    </row>
    <row r="24" customFormat="false" ht="15" hidden="false" customHeight="false" outlineLevel="0" collapsed="false">
      <c r="B24" s="7" t="str">
        <f aca="false">IF(AND('Sismo 2 Distribucion'!$D$27="Tabique de H°A°",'Sismo 2 Distribucion'!$B$27&lt;&gt;""),'Sismo 2 Distribucion'!$B$27,"")</f>
        <v/>
      </c>
      <c r="C24" s="55" t="str">
        <f aca="false">IF(B24="","",'Sismo 2 Distribucion'!$E$27)</f>
        <v/>
      </c>
      <c r="D24" s="38" t="str">
        <f aca="false">IF(B24="","",'Sismo 2 Distribucion'!$F$27)</f>
        <v/>
      </c>
      <c r="E24" s="22" t="str">
        <f aca="false">IF(B24="","",0.8*D24)</f>
        <v/>
      </c>
      <c r="F24" s="34"/>
      <c r="G24" s="41" t="str">
        <f aca="false">IF(B24="","",'Sismo 2 Distribucion'!$K$58)</f>
        <v/>
      </c>
      <c r="H24" s="33" t="str">
        <f aca="false">IF(B24="","",0.25*SQRT(Datos!$C$14)*C24*1000*E24*1000/1000+N(F24)*E24/(4*D24))</f>
        <v/>
      </c>
      <c r="I24" s="29"/>
      <c r="J24" s="34"/>
      <c r="K24" s="29"/>
      <c r="L24" s="36" t="str">
        <f aca="false">IF(OR(B24="",I24="",J24=""),"",N(K24)*PI()*I24^2/4/(C24*1000*J24*10))</f>
        <v/>
      </c>
      <c r="M24" s="33" t="str">
        <f aca="false">IF(L24="","",L24*Datos!$C$27*C24*1000*E24*1000/1000)</f>
        <v/>
      </c>
      <c r="N24" s="33" t="str">
        <f aca="false">IF(B24="","",5/6*SQRT(Datos!$C$14)*C24*1000*E24*1000/1000)</f>
        <v/>
      </c>
      <c r="O24" s="39" t="str">
        <f aca="false">IF(M24="","",0.75*MIN(H24+M24,N24))</f>
        <v/>
      </c>
      <c r="P24" s="15" t="str">
        <f aca="false">IF(L24="","",IF(L24&gt;=0.0025,"CUMPLE","NO CUMPLE"))</f>
        <v/>
      </c>
      <c r="Q24" s="15" t="str">
        <f aca="false">IF(B24="","",IF(O24="","REVISAR",IF(AND(G24&lt;=O24,P24="CUMPLE"),"CUMPLE","NO CUMPLE")))</f>
        <v/>
      </c>
    </row>
    <row r="25" customFormat="false" ht="15" hidden="false" customHeight="false" outlineLevel="0" collapsed="false">
      <c r="B25" s="7" t="str">
        <f aca="false">IF(AND('Sismo 2 Distribucion'!$D$28="Tabique de H°A°",'Sismo 2 Distribucion'!$B$28&lt;&gt;""),'Sismo 2 Distribucion'!$B$28,"")</f>
        <v/>
      </c>
      <c r="C25" s="55" t="str">
        <f aca="false">IF(B25="","",'Sismo 2 Distribucion'!$E$28)</f>
        <v/>
      </c>
      <c r="D25" s="38" t="str">
        <f aca="false">IF(B25="","",'Sismo 2 Distribucion'!$F$28)</f>
        <v/>
      </c>
      <c r="E25" s="22" t="str">
        <f aca="false">IF(B25="","",0.8*D25)</f>
        <v/>
      </c>
      <c r="F25" s="34"/>
      <c r="G25" s="41" t="str">
        <f aca="false">IF(B25="","",'Sismo 2 Distribucion'!$K$59)</f>
        <v/>
      </c>
      <c r="H25" s="33" t="str">
        <f aca="false">IF(B25="","",0.25*SQRT(Datos!$C$14)*C25*1000*E25*1000/1000+N(F25)*E25/(4*D25))</f>
        <v/>
      </c>
      <c r="I25" s="29"/>
      <c r="J25" s="34"/>
      <c r="K25" s="29"/>
      <c r="L25" s="36" t="str">
        <f aca="false">IF(OR(B25="",I25="",J25=""),"",N(K25)*PI()*I25^2/4/(C25*1000*J25*10))</f>
        <v/>
      </c>
      <c r="M25" s="33" t="str">
        <f aca="false">IF(L25="","",L25*Datos!$C$27*C25*1000*E25*1000/1000)</f>
        <v/>
      </c>
      <c r="N25" s="33" t="str">
        <f aca="false">IF(B25="","",5/6*SQRT(Datos!$C$14)*C25*1000*E25*1000/1000)</f>
        <v/>
      </c>
      <c r="O25" s="39" t="str">
        <f aca="false">IF(M25="","",0.75*MIN(H25+M25,N25))</f>
        <v/>
      </c>
      <c r="P25" s="15" t="str">
        <f aca="false">IF(L25="","",IF(L25&gt;=0.0025,"CUMPLE","NO CUMPLE"))</f>
        <v/>
      </c>
      <c r="Q25" s="15" t="str">
        <f aca="false">IF(B25="","",IF(O25="","REVISAR",IF(AND(G25&lt;=O25,P25="CUMPLE"),"CUMPLE","NO CUMPLE")))</f>
        <v/>
      </c>
    </row>
    <row r="26" customFormat="false" ht="15" hidden="false" customHeight="false" outlineLevel="0" collapsed="false">
      <c r="B26" s="7" t="str">
        <f aca="false">IF(AND('Sismo 2 Distribucion'!$D$29="Tabique de H°A°",'Sismo 2 Distribucion'!$B$29&lt;&gt;""),'Sismo 2 Distribucion'!$B$29,"")</f>
        <v/>
      </c>
      <c r="C26" s="55" t="str">
        <f aca="false">IF(B26="","",'Sismo 2 Distribucion'!$E$29)</f>
        <v/>
      </c>
      <c r="D26" s="38" t="str">
        <f aca="false">IF(B26="","",'Sismo 2 Distribucion'!$F$29)</f>
        <v/>
      </c>
      <c r="E26" s="22" t="str">
        <f aca="false">IF(B26="","",0.8*D26)</f>
        <v/>
      </c>
      <c r="F26" s="34"/>
      <c r="G26" s="41" t="str">
        <f aca="false">IF(B26="","",'Sismo 2 Distribucion'!$K$60)</f>
        <v/>
      </c>
      <c r="H26" s="33" t="str">
        <f aca="false">IF(B26="","",0.25*SQRT(Datos!$C$14)*C26*1000*E26*1000/1000+N(F26)*E26/(4*D26))</f>
        <v/>
      </c>
      <c r="I26" s="29"/>
      <c r="J26" s="34"/>
      <c r="K26" s="29"/>
      <c r="L26" s="36" t="str">
        <f aca="false">IF(OR(B26="",I26="",J26=""),"",N(K26)*PI()*I26^2/4/(C26*1000*J26*10))</f>
        <v/>
      </c>
      <c r="M26" s="33" t="str">
        <f aca="false">IF(L26="","",L26*Datos!$C$27*C26*1000*E26*1000/1000)</f>
        <v/>
      </c>
      <c r="N26" s="33" t="str">
        <f aca="false">IF(B26="","",5/6*SQRT(Datos!$C$14)*C26*1000*E26*1000/1000)</f>
        <v/>
      </c>
      <c r="O26" s="39" t="str">
        <f aca="false">IF(M26="","",0.75*MIN(H26+M26,N26))</f>
        <v/>
      </c>
      <c r="P26" s="15" t="str">
        <f aca="false">IF(L26="","",IF(L26&gt;=0.0025,"CUMPLE","NO CUMPLE"))</f>
        <v/>
      </c>
      <c r="Q26" s="15" t="str">
        <f aca="false">IF(B26="","",IF(O26="","REVISAR",IF(AND(G26&lt;=O26,P26="CUMPLE"),"CUMPLE","NO CUMPLE")))</f>
        <v/>
      </c>
    </row>
    <row r="27" customFormat="false" ht="15" hidden="false" customHeight="false" outlineLevel="0" collapsed="false">
      <c r="B27" s="7" t="str">
        <f aca="false">IF(AND('Sismo 2 Distribucion'!$D$30="Tabique de H°A°",'Sismo 2 Distribucion'!$B$30&lt;&gt;""),'Sismo 2 Distribucion'!$B$30,"")</f>
        <v/>
      </c>
      <c r="C27" s="55" t="str">
        <f aca="false">IF(B27="","",'Sismo 2 Distribucion'!$E$30)</f>
        <v/>
      </c>
      <c r="D27" s="38" t="str">
        <f aca="false">IF(B27="","",'Sismo 2 Distribucion'!$F$30)</f>
        <v/>
      </c>
      <c r="E27" s="22" t="str">
        <f aca="false">IF(B27="","",0.8*D27)</f>
        <v/>
      </c>
      <c r="F27" s="34"/>
      <c r="G27" s="41" t="str">
        <f aca="false">IF(B27="","",'Sismo 2 Distribucion'!$K$61)</f>
        <v/>
      </c>
      <c r="H27" s="33" t="str">
        <f aca="false">IF(B27="","",0.25*SQRT(Datos!$C$14)*C27*1000*E27*1000/1000+N(F27)*E27/(4*D27))</f>
        <v/>
      </c>
      <c r="I27" s="29"/>
      <c r="J27" s="34"/>
      <c r="K27" s="29"/>
      <c r="L27" s="36" t="str">
        <f aca="false">IF(OR(B27="",I27="",J27=""),"",N(K27)*PI()*I27^2/4/(C27*1000*J27*10))</f>
        <v/>
      </c>
      <c r="M27" s="33" t="str">
        <f aca="false">IF(L27="","",L27*Datos!$C$27*C27*1000*E27*1000/1000)</f>
        <v/>
      </c>
      <c r="N27" s="33" t="str">
        <f aca="false">IF(B27="","",5/6*SQRT(Datos!$C$14)*C27*1000*E27*1000/1000)</f>
        <v/>
      </c>
      <c r="O27" s="39" t="str">
        <f aca="false">IF(M27="","",0.75*MIN(H27+M27,N27))</f>
        <v/>
      </c>
      <c r="P27" s="15" t="str">
        <f aca="false">IF(L27="","",IF(L27&gt;=0.0025,"CUMPLE","NO CUMPLE"))</f>
        <v/>
      </c>
      <c r="Q27" s="15" t="str">
        <f aca="false">IF(B27="","",IF(O27="","REVISAR",IF(AND(G27&lt;=O27,P27="CUMPLE"),"CUMPLE","NO CUMPLE")))</f>
        <v/>
      </c>
    </row>
    <row r="28" customFormat="false" ht="15" hidden="false" customHeight="false" outlineLevel="0" collapsed="false">
      <c r="B28" s="7" t="str">
        <f aca="false">IF(AND('Sismo 2 Distribucion'!$D$31="Tabique de H°A°",'Sismo 2 Distribucion'!$B$31&lt;&gt;""),'Sismo 2 Distribucion'!$B$31,"")</f>
        <v/>
      </c>
      <c r="C28" s="55" t="str">
        <f aca="false">IF(B28="","",'Sismo 2 Distribucion'!$E$31)</f>
        <v/>
      </c>
      <c r="D28" s="38" t="str">
        <f aca="false">IF(B28="","",'Sismo 2 Distribucion'!$F$31)</f>
        <v/>
      </c>
      <c r="E28" s="22" t="str">
        <f aca="false">IF(B28="","",0.8*D28)</f>
        <v/>
      </c>
      <c r="F28" s="34"/>
      <c r="G28" s="41" t="str">
        <f aca="false">IF(B28="","",'Sismo 2 Distribucion'!$K$62)</f>
        <v/>
      </c>
      <c r="H28" s="33" t="str">
        <f aca="false">IF(B28="","",0.25*SQRT(Datos!$C$14)*C28*1000*E28*1000/1000+N(F28)*E28/(4*D28))</f>
        <v/>
      </c>
      <c r="I28" s="29"/>
      <c r="J28" s="34"/>
      <c r="K28" s="29"/>
      <c r="L28" s="36" t="str">
        <f aca="false">IF(OR(B28="",I28="",J28=""),"",N(K28)*PI()*I28^2/4/(C28*1000*J28*10))</f>
        <v/>
      </c>
      <c r="M28" s="33" t="str">
        <f aca="false">IF(L28="","",L28*Datos!$C$27*C28*1000*E28*1000/1000)</f>
        <v/>
      </c>
      <c r="N28" s="33" t="str">
        <f aca="false">IF(B28="","",5/6*SQRT(Datos!$C$14)*C28*1000*E28*1000/1000)</f>
        <v/>
      </c>
      <c r="O28" s="39" t="str">
        <f aca="false">IF(M28="","",0.75*MIN(H28+M28,N28))</f>
        <v/>
      </c>
      <c r="P28" s="15" t="str">
        <f aca="false">IF(L28="","",IF(L28&gt;=0.0025,"CUMPLE","NO CUMPLE"))</f>
        <v/>
      </c>
      <c r="Q28" s="15" t="str">
        <f aca="false">IF(B28="","",IF(O28="","REVISAR",IF(AND(G28&lt;=O28,P28="CUMPLE"),"CUMPLE","NO CUMPLE")))</f>
        <v/>
      </c>
    </row>
    <row r="29" customFormat="false" ht="15" hidden="false" customHeight="false" outlineLevel="0" collapsed="false">
      <c r="B29" s="7" t="str">
        <f aca="false">IF(AND('Sismo 2 Distribucion'!$D$32="Tabique de H°A°",'Sismo 2 Distribucion'!$B$32&lt;&gt;""),'Sismo 2 Distribucion'!$B$32,"")</f>
        <v/>
      </c>
      <c r="C29" s="55" t="str">
        <f aca="false">IF(B29="","",'Sismo 2 Distribucion'!$E$32)</f>
        <v/>
      </c>
      <c r="D29" s="38" t="str">
        <f aca="false">IF(B29="","",'Sismo 2 Distribucion'!$F$32)</f>
        <v/>
      </c>
      <c r="E29" s="22" t="str">
        <f aca="false">IF(B29="","",0.8*D29)</f>
        <v/>
      </c>
      <c r="F29" s="34"/>
      <c r="G29" s="41" t="str">
        <f aca="false">IF(B29="","",'Sismo 2 Distribucion'!$K$63)</f>
        <v/>
      </c>
      <c r="H29" s="33" t="str">
        <f aca="false">IF(B29="","",0.25*SQRT(Datos!$C$14)*C29*1000*E29*1000/1000+N(F29)*E29/(4*D29))</f>
        <v/>
      </c>
      <c r="I29" s="29"/>
      <c r="J29" s="34"/>
      <c r="K29" s="29"/>
      <c r="L29" s="36" t="str">
        <f aca="false">IF(OR(B29="",I29="",J29=""),"",N(K29)*PI()*I29^2/4/(C29*1000*J29*10))</f>
        <v/>
      </c>
      <c r="M29" s="33" t="str">
        <f aca="false">IF(L29="","",L29*Datos!$C$27*C29*1000*E29*1000/1000)</f>
        <v/>
      </c>
      <c r="N29" s="33" t="str">
        <f aca="false">IF(B29="","",5/6*SQRT(Datos!$C$14)*C29*1000*E29*1000/1000)</f>
        <v/>
      </c>
      <c r="O29" s="39" t="str">
        <f aca="false">IF(M29="","",0.75*MIN(H29+M29,N29))</f>
        <v/>
      </c>
      <c r="P29" s="15" t="str">
        <f aca="false">IF(L29="","",IF(L29&gt;=0.0025,"CUMPLE","NO CUMPLE"))</f>
        <v/>
      </c>
      <c r="Q29" s="15" t="str">
        <f aca="false">IF(B29="","",IF(O29="","REVISAR",IF(AND(G29&lt;=O29,P29="CUMPLE"),"CUMPLE","NO CUMPLE")))</f>
        <v/>
      </c>
    </row>
    <row r="30" customFormat="false" ht="39.75" hidden="false" customHeight="true" outlineLevel="0" collapsed="false">
      <c r="B30" s="2" t="s">
        <v>599</v>
      </c>
      <c r="C30" s="2"/>
      <c r="D30" s="2"/>
      <c r="E30" s="2"/>
      <c r="F30" s="2"/>
      <c r="G30" s="2"/>
      <c r="H30" s="2"/>
      <c r="I30" s="2"/>
      <c r="J30" s="2"/>
      <c r="K30" s="2"/>
      <c r="L30" s="2"/>
      <c r="M30" s="2"/>
      <c r="N30" s="2"/>
      <c r="O30" s="2"/>
      <c r="P30" s="2"/>
      <c r="Q30" s="2"/>
    </row>
  </sheetData>
  <mergeCells count="6">
    <mergeCell ref="A1:Q1"/>
    <mergeCell ref="A2:Q2"/>
    <mergeCell ref="B4:N4"/>
    <mergeCell ref="B20:N20"/>
    <mergeCell ref="B22:Q22"/>
    <mergeCell ref="B30:Q30"/>
  </mergeCells>
  <conditionalFormatting sqref="N6:N19">
    <cfRule type="expression" priority="2" aboveAverage="0" equalAverage="0" bottom="0" percent="0" rank="0" text="" dxfId="0">
      <formula>ISNUMBER(SEARCH("NO ",N6))</formula>
    </cfRule>
    <cfRule type="expression" priority="3" aboveAverage="0" equalAverage="0" bottom="0" percent="0" rank="0" text="" dxfId="1">
      <formula>OR(ISNUMBER(SEARCH("REVISAR",N6)),ISNUMBER(SEARCH("AUMENTAR",N6)))</formula>
    </cfRule>
    <cfRule type="expression" priority="4" aboveAverage="0" equalAverage="0" bottom="0" percent="0" rank="0" text="" dxfId="2">
      <formula>OR(N6="CUMPLE",N6="OK",N6="VERIFICA")</formula>
    </cfRule>
  </conditionalFormatting>
  <conditionalFormatting sqref="P24:Q29">
    <cfRule type="expression" priority="5" aboveAverage="0" equalAverage="0" bottom="0" percent="0" rank="0" text="" dxfId="0">
      <formula>ISNUMBER(SEARCH("NO ",P24))</formula>
    </cfRule>
    <cfRule type="expression" priority="6" aboveAverage="0" equalAverage="0" bottom="0" percent="0" rank="0" text="" dxfId="1">
      <formula>OR(ISNUMBER(SEARCH("REVISAR",P24)),ISNUMBER(SEARCH("AUMENTAR",P24)))</formula>
    </cfRule>
    <cfRule type="expression" priority="7" aboveAverage="0" equalAverage="0" bottom="0" percent="0" rank="0" text="" dxfId="2">
      <formula>OR(P24="CUMPLE",P24="OK",P24="VERIFICA")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P1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5" min="2" style="0" width="12"/>
    <col collapsed="false" customWidth="true" hidden="false" outlineLevel="0" max="16" min="16" style="0" width="14"/>
  </cols>
  <sheetData>
    <row r="1" customFormat="false" ht="27.75" hidden="false" customHeight="true" outlineLevel="0" collapsed="false">
      <c r="A1" s="1" t="s">
        <v>600</v>
      </c>
      <c r="B1" s="1"/>
      <c r="C1" s="1"/>
      <c r="D1" s="1"/>
      <c r="E1" s="1"/>
      <c r="F1" s="1"/>
      <c r="G1" s="1"/>
      <c r="H1" s="1"/>
      <c r="I1" s="1"/>
      <c r="J1" s="1"/>
      <c r="K1" s="1"/>
      <c r="L1" s="1"/>
      <c r="M1" s="1"/>
      <c r="N1" s="1"/>
    </row>
    <row r="2" customFormat="false" ht="30" hidden="false" customHeight="true" outlineLevel="0" collapsed="false">
      <c r="A2" s="2" t="s">
        <v>601</v>
      </c>
      <c r="B2" s="2"/>
      <c r="C2" s="2"/>
      <c r="D2" s="2"/>
      <c r="E2" s="2"/>
      <c r="F2" s="2"/>
      <c r="G2" s="2"/>
      <c r="H2" s="2"/>
      <c r="I2" s="2"/>
      <c r="J2" s="2"/>
      <c r="K2" s="2"/>
      <c r="L2" s="2"/>
      <c r="M2" s="2"/>
      <c r="N2" s="2"/>
    </row>
    <row r="4" customFormat="false" ht="19.5" hidden="false" customHeight="true" outlineLevel="0" collapsed="false">
      <c r="B4" s="3" t="s">
        <v>602</v>
      </c>
      <c r="C4" s="3"/>
      <c r="D4" s="3"/>
      <c r="E4" s="3"/>
      <c r="F4" s="3"/>
      <c r="G4" s="3"/>
      <c r="H4" s="3"/>
      <c r="I4" s="3"/>
      <c r="J4" s="3"/>
      <c r="K4" s="3"/>
      <c r="L4" s="3"/>
      <c r="M4" s="3"/>
      <c r="N4" s="3"/>
      <c r="O4" s="3"/>
    </row>
    <row r="5" customFormat="false" ht="15" hidden="false" customHeight="false" outlineLevel="0" collapsed="false">
      <c r="B5" s="19" t="s">
        <v>603</v>
      </c>
      <c r="D5" s="22" t="n">
        <f aca="false">INDEX('Tablas Sismo'!$C$6:$C$41,MATCH("6 - Columnas en voladizo",'Tablas Sismo'!$B$6:$B$41,0))</f>
        <v>2.5</v>
      </c>
      <c r="F5" s="19" t="s">
        <v>604</v>
      </c>
      <c r="H5" s="56" t="n">
        <f aca="false">2.5*'Sismo 1 Accion'!$C$24*'Sismo 1 Accion'!$C$10/D5</f>
        <v>0.4</v>
      </c>
    </row>
    <row r="6" customFormat="false" ht="55.5" hidden="false" customHeight="true" outlineLevel="0" collapsed="false">
      <c r="B6" s="11" t="s">
        <v>364</v>
      </c>
      <c r="C6" s="11" t="s">
        <v>365</v>
      </c>
      <c r="D6" s="11" t="s">
        <v>249</v>
      </c>
      <c r="E6" s="11" t="s">
        <v>605</v>
      </c>
      <c r="F6" s="11" t="s">
        <v>606</v>
      </c>
      <c r="G6" s="11" t="s">
        <v>607</v>
      </c>
      <c r="H6" s="11" t="s">
        <v>608</v>
      </c>
      <c r="I6" s="11" t="s">
        <v>609</v>
      </c>
      <c r="J6" s="11" t="s">
        <v>610</v>
      </c>
      <c r="K6" s="11" t="s">
        <v>611</v>
      </c>
      <c r="L6" s="11" t="s">
        <v>270</v>
      </c>
      <c r="M6" s="11" t="s">
        <v>384</v>
      </c>
      <c r="N6" s="11" t="s">
        <v>264</v>
      </c>
      <c r="O6" s="11" t="s">
        <v>347</v>
      </c>
      <c r="P6" s="11" t="s">
        <v>236</v>
      </c>
    </row>
    <row r="7" customFormat="false" ht="15" hidden="false" customHeight="false" outlineLevel="0" collapsed="false">
      <c r="B7" s="24" t="s">
        <v>612</v>
      </c>
      <c r="C7" s="29" t="n">
        <v>20</v>
      </c>
      <c r="D7" s="29" t="n">
        <v>20</v>
      </c>
      <c r="E7" s="32" t="n">
        <v>2.5</v>
      </c>
      <c r="F7" s="34" t="n">
        <v>10</v>
      </c>
      <c r="G7" s="22" t="n">
        <f aca="false">IF($B7="","",Datos!$C$17*C7*D7/10000)</f>
        <v>1</v>
      </c>
      <c r="H7" s="22" t="n">
        <f aca="false">IF($B7="","",$H$5*F7)</f>
        <v>4</v>
      </c>
      <c r="I7" s="22" t="n">
        <f aca="false">IF($B7="","",$H$5*G7*E7)</f>
        <v>1</v>
      </c>
      <c r="J7" s="31" t="n">
        <f aca="false">IF($B7="","",H7*E7+I7*E7/2)</f>
        <v>11.25</v>
      </c>
      <c r="K7" s="29" t="n">
        <v>2</v>
      </c>
      <c r="L7" s="29" t="n">
        <v>12</v>
      </c>
      <c r="M7" s="29" t="n">
        <v>6</v>
      </c>
      <c r="N7" s="33" t="n">
        <f aca="false">IF($B7="","",IF(L7="","",D7-(Datos!$C$19+M7+L7/2)/10))</f>
        <v>14.8</v>
      </c>
      <c r="O7" s="22" t="n">
        <f aca="false">IF($B7="","",IF(OR(K7="",L7=""),"",0.9*(K7*PI()*L7^2/4)*Datos!$C$25*(N7*10-(K7*PI()*L7^2/4)*Datos!$C$25/(0.85*Datos!$C$14*C7*10)/2)/10^6))</f>
        <v>11.698610997905</v>
      </c>
      <c r="P7" s="15" t="str">
        <f aca="false">IF($B7="","",IF(O7="","REVISAR",IF(O7&gt;=J7,"CUMPLE","NO CUMPLE")))</f>
        <v>CUMPLE</v>
      </c>
    </row>
    <row r="8" customFormat="false" ht="15" hidden="false" customHeight="false" outlineLevel="0" collapsed="false">
      <c r="B8" s="24"/>
      <c r="C8" s="29"/>
      <c r="D8" s="29"/>
      <c r="E8" s="32"/>
      <c r="F8" s="34"/>
      <c r="G8" s="22" t="str">
        <f aca="false">IF($B8="","",Datos!$C$17*C8*D8/10000)</f>
        <v/>
      </c>
      <c r="H8" s="22" t="str">
        <f aca="false">IF($B8="","",$H$5*F8)</f>
        <v/>
      </c>
      <c r="I8" s="22" t="str">
        <f aca="false">IF($B8="","",$H$5*G8*E8)</f>
        <v/>
      </c>
      <c r="J8" s="31" t="str">
        <f aca="false">IF($B8="","",H8*E8+I8*E8/2)</f>
        <v/>
      </c>
      <c r="K8" s="29"/>
      <c r="L8" s="29"/>
      <c r="M8" s="29"/>
      <c r="N8" s="33" t="str">
        <f aca="false">IF($B8="","",IF(L8="","",D8-(Datos!$C$19+M8+L8/2)/10))</f>
        <v/>
      </c>
      <c r="O8" s="22" t="str">
        <f aca="false">IF($B8="","",IF(OR(K8="",L8=""),"",0.9*(K8*PI()*L8^2/4)*Datos!$C$25*(N8*10-(K8*PI()*L8^2/4)*Datos!$C$25/(0.85*Datos!$C$14*C8*10)/2)/10^6))</f>
        <v/>
      </c>
      <c r="P8" s="15" t="str">
        <f aca="false">IF($B8="","",IF(O8="","REVISAR",IF(O8&gt;=J8,"CUMPLE","NO CUMPLE")))</f>
        <v/>
      </c>
    </row>
    <row r="9" customFormat="false" ht="15" hidden="false" customHeight="false" outlineLevel="0" collapsed="false">
      <c r="B9" s="24"/>
      <c r="C9" s="29"/>
      <c r="D9" s="29"/>
      <c r="E9" s="32"/>
      <c r="F9" s="34"/>
      <c r="G9" s="22" t="str">
        <f aca="false">IF($B9="","",Datos!$C$17*C9*D9/10000)</f>
        <v/>
      </c>
      <c r="H9" s="22" t="str">
        <f aca="false">IF($B9="","",$H$5*F9)</f>
        <v/>
      </c>
      <c r="I9" s="22" t="str">
        <f aca="false">IF($B9="","",$H$5*G9*E9)</f>
        <v/>
      </c>
      <c r="J9" s="31" t="str">
        <f aca="false">IF($B9="","",H9*E9+I9*E9/2)</f>
        <v/>
      </c>
      <c r="K9" s="29"/>
      <c r="L9" s="29"/>
      <c r="M9" s="29"/>
      <c r="N9" s="33" t="str">
        <f aca="false">IF($B9="","",IF(L9="","",D9-(Datos!$C$19+M9+L9/2)/10))</f>
        <v/>
      </c>
      <c r="O9" s="22" t="str">
        <f aca="false">IF($B9="","",IF(OR(K9="",L9=""),"",0.9*(K9*PI()*L9^2/4)*Datos!$C$25*(N9*10-(K9*PI()*L9^2/4)*Datos!$C$25/(0.85*Datos!$C$14*C9*10)/2)/10^6))</f>
        <v/>
      </c>
      <c r="P9" s="15" t="str">
        <f aca="false">IF($B9="","",IF(O9="","REVISAR",IF(O9&gt;=J9,"CUMPLE","NO CUMPLE")))</f>
        <v/>
      </c>
    </row>
    <row r="10" customFormat="false" ht="15" hidden="false" customHeight="false" outlineLevel="0" collapsed="false">
      <c r="B10" s="24"/>
      <c r="C10" s="29"/>
      <c r="D10" s="29"/>
      <c r="E10" s="32"/>
      <c r="F10" s="34"/>
      <c r="G10" s="22" t="str">
        <f aca="false">IF($B10="","",Datos!$C$17*C10*D10/10000)</f>
        <v/>
      </c>
      <c r="H10" s="22" t="str">
        <f aca="false">IF($B10="","",$H$5*F10)</f>
        <v/>
      </c>
      <c r="I10" s="22" t="str">
        <f aca="false">IF($B10="","",$H$5*G10*E10)</f>
        <v/>
      </c>
      <c r="J10" s="31" t="str">
        <f aca="false">IF($B10="","",H10*E10+I10*E10/2)</f>
        <v/>
      </c>
      <c r="K10" s="29"/>
      <c r="L10" s="29"/>
      <c r="M10" s="29"/>
      <c r="N10" s="33" t="str">
        <f aca="false">IF($B10="","",IF(L10="","",D10-(Datos!$C$19+M10+L10/2)/10))</f>
        <v/>
      </c>
      <c r="O10" s="22" t="str">
        <f aca="false">IF($B10="","",IF(OR(K10="",L10=""),"",0.9*(K10*PI()*L10^2/4)*Datos!$C$25*(N10*10-(K10*PI()*L10^2/4)*Datos!$C$25/(0.85*Datos!$C$14*C10*10)/2)/10^6))</f>
        <v/>
      </c>
      <c r="P10" s="15" t="str">
        <f aca="false">IF($B10="","",IF(O10="","REVISAR",IF(O10&gt;=J10,"CUMPLE","NO CUMPLE")))</f>
        <v/>
      </c>
    </row>
    <row r="11" customFormat="false" ht="39.75" hidden="false" customHeight="true" outlineLevel="0" collapsed="false">
      <c r="B11" s="2" t="s">
        <v>613</v>
      </c>
      <c r="C11" s="2"/>
      <c r="D11" s="2"/>
      <c r="E11" s="2"/>
      <c r="F11" s="2"/>
      <c r="G11" s="2"/>
      <c r="H11" s="2"/>
      <c r="I11" s="2"/>
      <c r="J11" s="2"/>
      <c r="K11" s="2"/>
      <c r="L11" s="2"/>
      <c r="M11" s="2"/>
      <c r="N11" s="2"/>
      <c r="O11" s="2"/>
      <c r="P11" s="2"/>
    </row>
    <row r="13" customFormat="false" ht="19.5" hidden="false" customHeight="true" outlineLevel="0" collapsed="false">
      <c r="B13" s="3" t="s">
        <v>614</v>
      </c>
      <c r="C13" s="3"/>
      <c r="D13" s="3"/>
      <c r="E13" s="3"/>
      <c r="F13" s="3"/>
      <c r="G13" s="3"/>
      <c r="H13" s="3"/>
      <c r="I13" s="3"/>
      <c r="J13" s="3"/>
      <c r="K13" s="3"/>
      <c r="L13" s="3"/>
      <c r="M13" s="3"/>
      <c r="N13" s="3"/>
      <c r="O13" s="3"/>
    </row>
    <row r="14" customFormat="false" ht="51.75" hidden="false" customHeight="true" outlineLevel="0" collapsed="false">
      <c r="B14" s="11" t="s">
        <v>615</v>
      </c>
      <c r="C14" s="11" t="s">
        <v>616</v>
      </c>
      <c r="D14" s="11" t="s">
        <v>617</v>
      </c>
      <c r="E14" s="11" t="s">
        <v>618</v>
      </c>
      <c r="F14" s="11" t="s">
        <v>619</v>
      </c>
      <c r="G14" s="11" t="s">
        <v>620</v>
      </c>
      <c r="H14" s="11" t="s">
        <v>621</v>
      </c>
      <c r="I14" s="11" t="s">
        <v>622</v>
      </c>
      <c r="J14" s="11" t="s">
        <v>623</v>
      </c>
      <c r="K14" s="11" t="s">
        <v>624</v>
      </c>
    </row>
    <row r="15" customFormat="false" ht="30" hidden="false" customHeight="true" outlineLevel="0" collapsed="false">
      <c r="B15" s="5" t="s">
        <v>625</v>
      </c>
      <c r="C15" s="34" t="n">
        <v>5</v>
      </c>
      <c r="D15" s="32" t="n">
        <v>2.9</v>
      </c>
      <c r="E15" s="38" t="n">
        <f aca="false">IF($B15="","",'Sismo 1 Accion'!$C$17)</f>
        <v>2.9</v>
      </c>
      <c r="F15" s="32" t="n">
        <v>2.5</v>
      </c>
      <c r="G15" s="32" t="n">
        <v>3</v>
      </c>
      <c r="H15" s="32" t="n">
        <v>1</v>
      </c>
      <c r="I15" s="30" t="n">
        <f aca="false">IF($B15="","",1+2*D15/E15)</f>
        <v>3</v>
      </c>
      <c r="J15" s="30" t="n">
        <f aca="false">IF($B15="","",H15*'Sismo 1 Accion'!$C$24*F15*I15/G15)</f>
        <v>1</v>
      </c>
      <c r="K15" s="31" t="n">
        <f aca="false">IF($B15="","",J15*C15)</f>
        <v>5</v>
      </c>
    </row>
    <row r="16" customFormat="false" ht="15" hidden="false" customHeight="false" outlineLevel="0" collapsed="false">
      <c r="B16" s="5"/>
      <c r="C16" s="34"/>
      <c r="D16" s="32"/>
      <c r="E16" s="38" t="str">
        <f aca="false">IF($B16="","",'Sismo 1 Accion'!$C$17)</f>
        <v/>
      </c>
      <c r="F16" s="32"/>
      <c r="G16" s="32"/>
      <c r="H16" s="32"/>
      <c r="I16" s="30" t="str">
        <f aca="false">IF($B16="","",1+2*D16/E16)</f>
        <v/>
      </c>
      <c r="J16" s="30" t="str">
        <f aca="false">IF($B16="","",H16*'Sismo 1 Accion'!$C$24*F16*I16/G16)</f>
        <v/>
      </c>
      <c r="K16" s="31" t="str">
        <f aca="false">IF($B16="","",J16*C16)</f>
        <v/>
      </c>
    </row>
    <row r="17" customFormat="false" ht="15" hidden="false" customHeight="false" outlineLevel="0" collapsed="false">
      <c r="B17" s="5"/>
      <c r="C17" s="34"/>
      <c r="D17" s="32"/>
      <c r="E17" s="38" t="str">
        <f aca="false">IF($B17="","",'Sismo 1 Accion'!$C$17)</f>
        <v/>
      </c>
      <c r="F17" s="32"/>
      <c r="G17" s="32"/>
      <c r="H17" s="32"/>
      <c r="I17" s="30" t="str">
        <f aca="false">IF($B17="","",1+2*D17/E17)</f>
        <v/>
      </c>
      <c r="J17" s="30" t="str">
        <f aca="false">IF($B17="","",H17*'Sismo 1 Accion'!$C$24*F17*I17/G17)</f>
        <v/>
      </c>
      <c r="K17" s="31" t="str">
        <f aca="false">IF($B17="","",J17*C17)</f>
        <v/>
      </c>
    </row>
    <row r="18" customFormat="false" ht="15" hidden="false" customHeight="false" outlineLevel="0" collapsed="false">
      <c r="B18" s="5"/>
      <c r="C18" s="34"/>
      <c r="D18" s="32"/>
      <c r="E18" s="38" t="str">
        <f aca="false">IF($B18="","",'Sismo 1 Accion'!$C$17)</f>
        <v/>
      </c>
      <c r="F18" s="32"/>
      <c r="G18" s="32"/>
      <c r="H18" s="32"/>
      <c r="I18" s="30" t="str">
        <f aca="false">IF($B18="","",1+2*D18/E18)</f>
        <v/>
      </c>
      <c r="J18" s="30" t="str">
        <f aca="false">IF($B18="","",H18*'Sismo 1 Accion'!$C$24*F18*I18/G18)</f>
        <v/>
      </c>
      <c r="K18" s="31" t="str">
        <f aca="false">IF($B18="","",J18*C18)</f>
        <v/>
      </c>
    </row>
    <row r="19" customFormat="false" ht="30" hidden="false" customHeight="true" outlineLevel="0" collapsed="false">
      <c r="B19" s="2" t="s">
        <v>626</v>
      </c>
      <c r="C19" s="2"/>
      <c r="D19" s="2"/>
      <c r="E19" s="2"/>
      <c r="F19" s="2"/>
      <c r="G19" s="2"/>
      <c r="H19" s="2"/>
      <c r="I19" s="2"/>
      <c r="J19" s="2"/>
      <c r="K19" s="2"/>
      <c r="L19" s="2"/>
      <c r="M19" s="2"/>
      <c r="N19" s="2"/>
      <c r="O19" s="2"/>
    </row>
  </sheetData>
  <mergeCells count="6">
    <mergeCell ref="A1:N1"/>
    <mergeCell ref="A2:N2"/>
    <mergeCell ref="B4:O4"/>
    <mergeCell ref="B11:P11"/>
    <mergeCell ref="B13:O13"/>
    <mergeCell ref="B19:O19"/>
  </mergeCells>
  <conditionalFormatting sqref="P7:P10">
    <cfRule type="expression" priority="2" aboveAverage="0" equalAverage="0" bottom="0" percent="0" rank="0" text="" dxfId="0">
      <formula>ISNUMBER(SEARCH("NO ",P7))</formula>
    </cfRule>
    <cfRule type="expression" priority="3" aboveAverage="0" equalAverage="0" bottom="0" percent="0" rank="0" text="" dxfId="1">
      <formula>OR(ISNUMBER(SEARCH("REVISAR",P7)),ISNUMBER(SEARCH("AUMENTAR",P7)))</formula>
    </cfRule>
    <cfRule type="expression" priority="4" aboveAverage="0" equalAverage="0" bottom="0" percent="0" rank="0" text="" dxfId="2">
      <formula>OR(P7="CUMPLE",P7="OK",P7="VERIFICA")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true"/>
  </sheetPr>
  <dimension ref="A1:O3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5" min="2" style="0" width="12"/>
  </cols>
  <sheetData>
    <row r="1" customFormat="false" ht="27.75" hidden="false" customHeight="true" outlineLevel="0" collapsed="false">
      <c r="A1" s="1" t="s">
        <v>627</v>
      </c>
      <c r="B1" s="1"/>
      <c r="C1" s="1"/>
      <c r="D1" s="1"/>
      <c r="E1" s="1"/>
      <c r="F1" s="1"/>
      <c r="G1" s="1"/>
      <c r="H1" s="1"/>
      <c r="I1" s="1"/>
      <c r="J1" s="1"/>
      <c r="K1" s="1"/>
      <c r="L1" s="1"/>
      <c r="M1" s="1"/>
      <c r="N1" s="1"/>
    </row>
    <row r="2" customFormat="false" ht="30" hidden="false" customHeight="true" outlineLevel="0" collapsed="false">
      <c r="A2" s="2" t="s">
        <v>628</v>
      </c>
      <c r="B2" s="2"/>
      <c r="C2" s="2"/>
      <c r="D2" s="2"/>
      <c r="E2" s="2"/>
      <c r="F2" s="2"/>
      <c r="G2" s="2"/>
      <c r="H2" s="2"/>
      <c r="I2" s="2"/>
      <c r="J2" s="2"/>
      <c r="K2" s="2"/>
      <c r="L2" s="2"/>
      <c r="M2" s="2"/>
      <c r="N2" s="2"/>
    </row>
    <row r="4" customFormat="false" ht="19.5" hidden="false" customHeight="true" outlineLevel="0" collapsed="false">
      <c r="B4" s="3" t="s">
        <v>629</v>
      </c>
      <c r="C4" s="3"/>
      <c r="D4" s="3"/>
      <c r="E4" s="3"/>
      <c r="F4" s="3"/>
      <c r="G4" s="3"/>
      <c r="H4" s="3"/>
      <c r="I4" s="3"/>
      <c r="J4" s="3"/>
      <c r="K4" s="3"/>
      <c r="L4" s="3"/>
      <c r="M4" s="3"/>
      <c r="N4" s="3"/>
      <c r="O4" s="3"/>
    </row>
    <row r="5" customFormat="false" ht="57.75" hidden="false" customHeight="true" outlineLevel="0" collapsed="false">
      <c r="B5" s="11" t="s">
        <v>630</v>
      </c>
      <c r="C5" s="11" t="s">
        <v>631</v>
      </c>
      <c r="D5" s="11" t="s">
        <v>632</v>
      </c>
      <c r="E5" s="11" t="s">
        <v>633</v>
      </c>
      <c r="F5" s="11" t="s">
        <v>634</v>
      </c>
      <c r="G5" s="11" t="s">
        <v>635</v>
      </c>
      <c r="H5" s="11" t="s">
        <v>636</v>
      </c>
      <c r="I5" s="11" t="s">
        <v>637</v>
      </c>
      <c r="J5" s="11" t="s">
        <v>638</v>
      </c>
      <c r="K5" s="11" t="s">
        <v>639</v>
      </c>
      <c r="L5" s="11" t="s">
        <v>640</v>
      </c>
      <c r="M5" s="11" t="s">
        <v>641</v>
      </c>
      <c r="N5" s="11" t="s">
        <v>642</v>
      </c>
      <c r="O5" s="11" t="s">
        <v>236</v>
      </c>
    </row>
    <row r="6" customFormat="false" ht="15" hidden="false" customHeight="false" outlineLevel="0" collapsed="false">
      <c r="B6" s="24" t="s">
        <v>643</v>
      </c>
      <c r="C6" s="57" t="n">
        <f aca="false">Cargas!$I$46</f>
        <v>6.14</v>
      </c>
      <c r="D6" s="32" t="n">
        <v>3</v>
      </c>
      <c r="E6" s="32" t="n">
        <v>0</v>
      </c>
      <c r="F6" s="32" t="n">
        <v>0</v>
      </c>
      <c r="G6" s="28" t="n">
        <v>0.18</v>
      </c>
      <c r="H6" s="32" t="n">
        <v>2.6</v>
      </c>
      <c r="I6" s="33" t="n">
        <f aca="false">IF($B6="","",N(C6)*N(D6)/2+N(E6)*N(F6)/2+N(G6)*N(H6)*Datos!$C$35)</f>
        <v>17.166</v>
      </c>
      <c r="J6" s="14" t="n">
        <f aca="false">IF($B6="","",MAX(1.25*I6/Datos!$C$31*100,G6*100+15))</f>
        <v>33</v>
      </c>
      <c r="K6" s="29" t="n">
        <v>60</v>
      </c>
      <c r="L6" s="29" t="n">
        <v>70</v>
      </c>
      <c r="M6" s="33" t="n">
        <f aca="false">IF($B6="","",IF(K6="","",(I6+K6/100*L6/100*Datos!$C$18)/(K6/100)))</f>
        <v>44.01</v>
      </c>
      <c r="N6" s="33" t="n">
        <f aca="false">IF($B6="","",IF(K6="","",DEGREES(ATAN(L6/MAX(0.1,(K6-G6*100)/2)))))</f>
        <v>73.3007557660064</v>
      </c>
      <c r="O6" s="15" t="str">
        <f aca="false">IF($B6="","",IF(K6="","REVISAR",IF(AND(M6&lt;=Datos!$C$31,K6&gt;=J6,K6&gt;=G6*100+15,N6&gt;=60),"CUMPLE","NO CUMPLE")))</f>
        <v>CUMPLE</v>
      </c>
    </row>
    <row r="7" customFormat="false" ht="15" hidden="false" customHeight="false" outlineLevel="0" collapsed="false">
      <c r="B7" s="24" t="s">
        <v>644</v>
      </c>
      <c r="C7" s="57" t="n">
        <f aca="false">Cargas!$I$46</f>
        <v>6.14</v>
      </c>
      <c r="D7" s="32" t="n">
        <v>3</v>
      </c>
      <c r="E7" s="57" t="n">
        <f aca="false">Cargas!$I$46</f>
        <v>6.14</v>
      </c>
      <c r="F7" s="32" t="n">
        <v>2</v>
      </c>
      <c r="G7" s="28" t="n">
        <v>0.18</v>
      </c>
      <c r="H7" s="32" t="n">
        <v>2.6</v>
      </c>
      <c r="I7" s="33" t="n">
        <f aca="false">IF($B7="","",N(C7)*N(D7)/2+N(E7)*N(F7)/2+N(G7)*N(H7)*Datos!$C$35)</f>
        <v>23.306</v>
      </c>
      <c r="J7" s="14" t="n">
        <f aca="false">IF($B7="","",MAX(1.25*I7/Datos!$C$31*100,G7*100+15))</f>
        <v>33</v>
      </c>
      <c r="K7" s="29" t="n">
        <v>60</v>
      </c>
      <c r="L7" s="29" t="n">
        <v>70</v>
      </c>
      <c r="M7" s="33" t="n">
        <f aca="false">IF($B7="","",IF(K7="","",(I7+K7/100*L7/100*Datos!$C$18)/(K7/100)))</f>
        <v>54.2433333333333</v>
      </c>
      <c r="N7" s="33" t="n">
        <f aca="false">IF($B7="","",IF(K7="","",DEGREES(ATAN(L7/MAX(0.1,(K7-G7*100)/2)))))</f>
        <v>73.3007557660064</v>
      </c>
      <c r="O7" s="15" t="str">
        <f aca="false">IF($B7="","",IF(K7="","REVISAR",IF(AND(M7&lt;=Datos!$C$31,K7&gt;=J7,K7&gt;=G7*100+15,N7&gt;=60),"CUMPLE","NO CUMPLE")))</f>
        <v>CUMPLE</v>
      </c>
    </row>
    <row r="8" customFormat="false" ht="15" hidden="false" customHeight="false" outlineLevel="0" collapsed="false">
      <c r="B8" s="24"/>
      <c r="C8" s="32"/>
      <c r="D8" s="32"/>
      <c r="E8" s="32"/>
      <c r="F8" s="32"/>
      <c r="G8" s="28"/>
      <c r="H8" s="32"/>
      <c r="I8" s="33" t="str">
        <f aca="false">IF($B8="","",N(C8)*N(D8)/2+N(E8)*N(F8)/2+N(G8)*N(H8)*Datos!$C$35)</f>
        <v/>
      </c>
      <c r="J8" s="14" t="str">
        <f aca="false">IF($B8="","",MAX(1.25*I8/Datos!$C$31*100,G8*100+15))</f>
        <v/>
      </c>
      <c r="K8" s="29"/>
      <c r="L8" s="29"/>
      <c r="M8" s="33" t="str">
        <f aca="false">IF($B8="","",IF(K8="","",(I8+K8/100*L8/100*Datos!$C$18)/(K8/100)))</f>
        <v/>
      </c>
      <c r="N8" s="33" t="str">
        <f aca="false">IF($B8="","",IF(K8="","",DEGREES(ATAN(L8/MAX(0.1,(K8-G8*100)/2)))))</f>
        <v/>
      </c>
      <c r="O8" s="15" t="str">
        <f aca="false">IF($B8="","",IF(K8="","REVISAR",IF(AND(M8&lt;=Datos!$C$31,K8&gt;=J8,K8&gt;=G8*100+15,N8&gt;=60),"CUMPLE","NO CUMPLE")))</f>
        <v/>
      </c>
    </row>
    <row r="9" customFormat="false" ht="15" hidden="false" customHeight="false" outlineLevel="0" collapsed="false">
      <c r="B9" s="24"/>
      <c r="C9" s="32"/>
      <c r="D9" s="32"/>
      <c r="E9" s="32"/>
      <c r="F9" s="32"/>
      <c r="G9" s="28"/>
      <c r="H9" s="32"/>
      <c r="I9" s="33" t="str">
        <f aca="false">IF($B9="","",N(C9)*N(D9)/2+N(E9)*N(F9)/2+N(G9)*N(H9)*Datos!$C$35)</f>
        <v/>
      </c>
      <c r="J9" s="14" t="str">
        <f aca="false">IF($B9="","",MAX(1.25*I9/Datos!$C$31*100,G9*100+15))</f>
        <v/>
      </c>
      <c r="K9" s="29"/>
      <c r="L9" s="29"/>
      <c r="M9" s="33" t="str">
        <f aca="false">IF($B9="","",IF(K9="","",(I9+K9/100*L9/100*Datos!$C$18)/(K9/100)))</f>
        <v/>
      </c>
      <c r="N9" s="33" t="str">
        <f aca="false">IF($B9="","",IF(K9="","",DEGREES(ATAN(L9/MAX(0.1,(K9-G9*100)/2)))))</f>
        <v/>
      </c>
      <c r="O9" s="15" t="str">
        <f aca="false">IF($B9="","",IF(K9="","REVISAR",IF(AND(M9&lt;=Datos!$C$31,K9&gt;=J9,K9&gt;=G9*100+15,N9&gt;=60),"CUMPLE","NO CUMPLE")))</f>
        <v/>
      </c>
    </row>
    <row r="10" customFormat="false" ht="15" hidden="false" customHeight="false" outlineLevel="0" collapsed="false">
      <c r="B10" s="24"/>
      <c r="C10" s="32"/>
      <c r="D10" s="32"/>
      <c r="E10" s="32"/>
      <c r="F10" s="32"/>
      <c r="G10" s="28"/>
      <c r="H10" s="32"/>
      <c r="I10" s="33" t="str">
        <f aca="false">IF($B10="","",N(C10)*N(D10)/2+N(E10)*N(F10)/2+N(G10)*N(H10)*Datos!$C$35)</f>
        <v/>
      </c>
      <c r="J10" s="14" t="str">
        <f aca="false">IF($B10="","",MAX(1.25*I10/Datos!$C$31*100,G10*100+15))</f>
        <v/>
      </c>
      <c r="K10" s="29"/>
      <c r="L10" s="29"/>
      <c r="M10" s="33" t="str">
        <f aca="false">IF($B10="","",IF(K10="","",(I10+K10/100*L10/100*Datos!$C$18)/(K10/100)))</f>
        <v/>
      </c>
      <c r="N10" s="33" t="str">
        <f aca="false">IF($B10="","",IF(K10="","",DEGREES(ATAN(L10/MAX(0.1,(K10-G10*100)/2)))))</f>
        <v/>
      </c>
      <c r="O10" s="15" t="str">
        <f aca="false">IF($B10="","",IF(K10="","REVISAR",IF(AND(M10&lt;=Datos!$C$31,K10&gt;=J10,K10&gt;=G10*100+15,N10&gt;=60),"CUMPLE","NO CUMPLE")))</f>
        <v/>
      </c>
    </row>
    <row r="11" customFormat="false" ht="15" hidden="false" customHeight="false" outlineLevel="0" collapsed="false">
      <c r="B11" s="24"/>
      <c r="C11" s="32"/>
      <c r="D11" s="32"/>
      <c r="E11" s="32"/>
      <c r="F11" s="32"/>
      <c r="G11" s="28"/>
      <c r="H11" s="32"/>
      <c r="I11" s="33" t="str">
        <f aca="false">IF($B11="","",N(C11)*N(D11)/2+N(E11)*N(F11)/2+N(G11)*N(H11)*Datos!$C$35)</f>
        <v/>
      </c>
      <c r="J11" s="14" t="str">
        <f aca="false">IF($B11="","",MAX(1.25*I11/Datos!$C$31*100,G11*100+15))</f>
        <v/>
      </c>
      <c r="K11" s="29"/>
      <c r="L11" s="29"/>
      <c r="M11" s="33" t="str">
        <f aca="false">IF($B11="","",IF(K11="","",(I11+K11/100*L11/100*Datos!$C$18)/(K11/100)))</f>
        <v/>
      </c>
      <c r="N11" s="33" t="str">
        <f aca="false">IF($B11="","",IF(K11="","",DEGREES(ATAN(L11/MAX(0.1,(K11-G11*100)/2)))))</f>
        <v/>
      </c>
      <c r="O11" s="15" t="str">
        <f aca="false">IF($B11="","",IF(K11="","REVISAR",IF(AND(M11&lt;=Datos!$C$31,K11&gt;=J11,K11&gt;=G11*100+15,N11&gt;=60),"CUMPLE","NO CUMPLE")))</f>
        <v/>
      </c>
    </row>
    <row r="12" customFormat="false" ht="45.75" hidden="false" customHeight="true" outlineLevel="0" collapsed="false">
      <c r="B12" s="2" t="s">
        <v>645</v>
      </c>
      <c r="C12" s="2"/>
      <c r="D12" s="2"/>
      <c r="E12" s="2"/>
      <c r="F12" s="2"/>
      <c r="G12" s="2"/>
      <c r="H12" s="2"/>
      <c r="I12" s="2"/>
      <c r="J12" s="2"/>
      <c r="K12" s="2"/>
      <c r="L12" s="2"/>
      <c r="M12" s="2"/>
      <c r="N12" s="2"/>
      <c r="O12" s="2"/>
    </row>
    <row r="14" customFormat="false" ht="19.5" hidden="false" customHeight="true" outlineLevel="0" collapsed="false">
      <c r="B14" s="3" t="s">
        <v>646</v>
      </c>
      <c r="C14" s="3"/>
      <c r="D14" s="3"/>
      <c r="E14" s="3"/>
      <c r="F14" s="3"/>
      <c r="G14" s="3"/>
      <c r="H14" s="3"/>
      <c r="I14" s="3"/>
      <c r="J14" s="3"/>
      <c r="K14" s="3"/>
      <c r="L14" s="3"/>
      <c r="M14" s="3"/>
      <c r="N14" s="3"/>
      <c r="O14" s="3"/>
    </row>
    <row r="15" customFormat="false" ht="55.5" hidden="false" customHeight="true" outlineLevel="0" collapsed="false">
      <c r="B15" s="11" t="s">
        <v>647</v>
      </c>
      <c r="C15" s="11" t="s">
        <v>648</v>
      </c>
      <c r="D15" s="11" t="s">
        <v>649</v>
      </c>
      <c r="E15" s="11" t="s">
        <v>650</v>
      </c>
      <c r="F15" s="11" t="s">
        <v>651</v>
      </c>
      <c r="G15" s="11" t="s">
        <v>652</v>
      </c>
      <c r="H15" s="11" t="s">
        <v>653</v>
      </c>
      <c r="I15" s="11" t="s">
        <v>654</v>
      </c>
      <c r="J15" s="11" t="s">
        <v>655</v>
      </c>
      <c r="K15" s="11" t="s">
        <v>656</v>
      </c>
      <c r="L15" s="11" t="s">
        <v>641</v>
      </c>
      <c r="M15" s="11" t="s">
        <v>657</v>
      </c>
      <c r="N15" s="11" t="s">
        <v>236</v>
      </c>
    </row>
    <row r="16" customFormat="false" ht="15" hidden="false" customHeight="false" outlineLevel="0" collapsed="false">
      <c r="B16" s="24" t="s">
        <v>658</v>
      </c>
      <c r="C16" s="29" t="n">
        <v>25</v>
      </c>
      <c r="D16" s="29" t="n">
        <v>25</v>
      </c>
      <c r="E16" s="58" t="n">
        <f aca="false">Columnas!$K$6</f>
        <v>134.9745</v>
      </c>
      <c r="F16" s="33" t="n">
        <f aca="false">IF($B16="","",E16/1.4)</f>
        <v>96.4103571428572</v>
      </c>
      <c r="G16" s="14" t="n">
        <f aca="false">IF($B16="","",SQRT(1.2*F16/Datos!$C$31)*100)</f>
        <v>87.8227110229955</v>
      </c>
      <c r="H16" s="29" t="n">
        <v>150</v>
      </c>
      <c r="I16" s="29" t="n">
        <v>40</v>
      </c>
      <c r="J16" s="33" t="n">
        <f aca="false">IF($B16="","",Datos!$C$17*(H16/100)^2*I16/100)</f>
        <v>22.5</v>
      </c>
      <c r="K16" s="33" t="n">
        <f aca="false">IF($B16="","",Datos!$C$34*((H16/100)^2-C16*D16/10000)*MAX(0,Datos!$C$33-I16/100))</f>
        <v>22.3125</v>
      </c>
      <c r="L16" s="33" t="n">
        <f aca="false">IF($B16="","",(F16+J16+K16)/(H16/100)^2)</f>
        <v>62.7657142857143</v>
      </c>
      <c r="M16" s="14" t="n">
        <f aca="false">IF($B16="","",Datos!$C$31)</f>
        <v>150</v>
      </c>
      <c r="N16" s="15" t="str">
        <f aca="false">IF($B16="","",IF(H16="","REVISAR",IF(AND(L16&lt;=M16,H16&gt;=G16),"CUMPLE","NO CUMPLE")))</f>
        <v>CUMPLE</v>
      </c>
    </row>
    <row r="17" customFormat="false" ht="15" hidden="false" customHeight="false" outlineLevel="0" collapsed="false">
      <c r="B17" s="24" t="s">
        <v>659</v>
      </c>
      <c r="C17" s="29" t="n">
        <v>30</v>
      </c>
      <c r="D17" s="29" t="n">
        <v>30</v>
      </c>
      <c r="E17" s="58" t="n">
        <f aca="false">Columnas!$K$7</f>
        <v>156.698</v>
      </c>
      <c r="F17" s="33" t="n">
        <f aca="false">IF($B17="","",E17/1.4)</f>
        <v>111.927142857143</v>
      </c>
      <c r="G17" s="14" t="n">
        <f aca="false">IF($B17="","",SQRT(1.2*F17/Datos!$C$31)*100)</f>
        <v>94.6264837588898</v>
      </c>
      <c r="H17" s="29" t="n">
        <v>190</v>
      </c>
      <c r="I17" s="29" t="n">
        <v>45</v>
      </c>
      <c r="J17" s="33" t="n">
        <f aca="false">IF($B17="","",Datos!$C$17*(H17/100)^2*I17/100)</f>
        <v>40.6125</v>
      </c>
      <c r="K17" s="33" t="n">
        <f aca="false">IF($B17="","",Datos!$C$34*((H17/100)^2-C17*D17/10000)*MAX(0,Datos!$C$33-I17/100))</f>
        <v>32.912</v>
      </c>
      <c r="L17" s="33" t="n">
        <f aca="false">IF($B17="","",(F17+J17+K17)/(H17/100)^2)</f>
        <v>51.3716462208152</v>
      </c>
      <c r="M17" s="14" t="n">
        <f aca="false">IF($B17="","",Datos!$C$31)</f>
        <v>150</v>
      </c>
      <c r="N17" s="15" t="str">
        <f aca="false">IF($B17="","",IF(H17="","REVISAR",IF(AND(L17&lt;=M17,H17&gt;=G17),"CUMPLE","NO CUMPLE")))</f>
        <v>CUMPLE</v>
      </c>
    </row>
    <row r="18" customFormat="false" ht="15" hidden="false" customHeight="false" outlineLevel="0" collapsed="false">
      <c r="B18" s="24"/>
      <c r="C18" s="29"/>
      <c r="D18" s="29"/>
      <c r="E18" s="34"/>
      <c r="F18" s="33" t="str">
        <f aca="false">IF($B18="","",E18/1.4)</f>
        <v/>
      </c>
      <c r="G18" s="14" t="str">
        <f aca="false">IF($B18="","",SQRT(1.2*F18/Datos!$C$31)*100)</f>
        <v/>
      </c>
      <c r="H18" s="29"/>
      <c r="I18" s="29"/>
      <c r="J18" s="33" t="str">
        <f aca="false">IF($B18="","",Datos!$C$17*(H18/100)^2*I18/100)</f>
        <v/>
      </c>
      <c r="K18" s="33" t="str">
        <f aca="false">IF($B18="","",Datos!$C$34*((H18/100)^2-C18*D18/10000)*MAX(0,Datos!$C$33-I18/100))</f>
        <v/>
      </c>
      <c r="L18" s="33" t="str">
        <f aca="false">IF($B18="","",(F18+J18+K18)/(H18/100)^2)</f>
        <v/>
      </c>
      <c r="M18" s="14" t="str">
        <f aca="false">IF($B18="","",Datos!$C$31)</f>
        <v/>
      </c>
      <c r="N18" s="15" t="str">
        <f aca="false">IF($B18="","",IF(H18="","REVISAR",IF(AND(L18&lt;=M18,H18&gt;=G18),"CUMPLE","NO CUMPLE")))</f>
        <v/>
      </c>
    </row>
    <row r="19" customFormat="false" ht="15" hidden="false" customHeight="false" outlineLevel="0" collapsed="false">
      <c r="B19" s="24"/>
      <c r="C19" s="29"/>
      <c r="D19" s="29"/>
      <c r="E19" s="34"/>
      <c r="F19" s="33" t="str">
        <f aca="false">IF($B19="","",E19/1.4)</f>
        <v/>
      </c>
      <c r="G19" s="14" t="str">
        <f aca="false">IF($B19="","",SQRT(1.2*F19/Datos!$C$31)*100)</f>
        <v/>
      </c>
      <c r="H19" s="29"/>
      <c r="I19" s="29"/>
      <c r="J19" s="33" t="str">
        <f aca="false">IF($B19="","",Datos!$C$17*(H19/100)^2*I19/100)</f>
        <v/>
      </c>
      <c r="K19" s="33" t="str">
        <f aca="false">IF($B19="","",Datos!$C$34*((H19/100)^2-C19*D19/10000)*MAX(0,Datos!$C$33-I19/100))</f>
        <v/>
      </c>
      <c r="L19" s="33" t="str">
        <f aca="false">IF($B19="","",(F19+J19+K19)/(H19/100)^2)</f>
        <v/>
      </c>
      <c r="M19" s="14" t="str">
        <f aca="false">IF($B19="","",Datos!$C$31)</f>
        <v/>
      </c>
      <c r="N19" s="15" t="str">
        <f aca="false">IF($B19="","",IF(H19="","REVISAR",IF(AND(L19&lt;=M19,H19&gt;=G19),"CUMPLE","NO CUMPLE")))</f>
        <v/>
      </c>
    </row>
    <row r="20" customFormat="false" ht="30" hidden="false" customHeight="true" outlineLevel="0" collapsed="false">
      <c r="B20" s="2" t="s">
        <v>660</v>
      </c>
      <c r="C20" s="2"/>
      <c r="D20" s="2"/>
      <c r="E20" s="2"/>
      <c r="F20" s="2"/>
      <c r="G20" s="2"/>
      <c r="H20" s="2"/>
      <c r="I20" s="2"/>
      <c r="J20" s="2"/>
      <c r="K20" s="2"/>
      <c r="L20" s="2"/>
      <c r="M20" s="2"/>
      <c r="N20" s="2"/>
      <c r="O20" s="2"/>
    </row>
    <row r="22" customFormat="false" ht="19.5" hidden="false" customHeight="true" outlineLevel="0" collapsed="false">
      <c r="B22" s="3" t="s">
        <v>661</v>
      </c>
      <c r="C22" s="3"/>
      <c r="D22" s="3"/>
      <c r="E22" s="3"/>
      <c r="F22" s="3"/>
      <c r="G22" s="3"/>
      <c r="H22" s="3"/>
      <c r="I22" s="3"/>
      <c r="J22" s="3"/>
      <c r="K22" s="3"/>
      <c r="L22" s="3"/>
      <c r="M22" s="3"/>
      <c r="N22" s="3"/>
    </row>
    <row r="23" customFormat="false" ht="51.75" hidden="false" customHeight="true" outlineLevel="0" collapsed="false">
      <c r="B23" s="11" t="s">
        <v>647</v>
      </c>
      <c r="C23" s="11" t="s">
        <v>264</v>
      </c>
      <c r="D23" s="11" t="s">
        <v>662</v>
      </c>
      <c r="E23" s="11" t="s">
        <v>663</v>
      </c>
      <c r="F23" s="11" t="s">
        <v>341</v>
      </c>
      <c r="G23" s="11" t="s">
        <v>266</v>
      </c>
      <c r="H23" s="11" t="s">
        <v>343</v>
      </c>
      <c r="I23" s="11" t="s">
        <v>344</v>
      </c>
      <c r="J23" s="11" t="s">
        <v>270</v>
      </c>
      <c r="K23" s="11" t="s">
        <v>271</v>
      </c>
      <c r="L23" s="11" t="s">
        <v>664</v>
      </c>
      <c r="M23" s="11" t="s">
        <v>347</v>
      </c>
      <c r="N23" s="11" t="s">
        <v>236</v>
      </c>
    </row>
    <row r="24" customFormat="false" ht="15" hidden="false" customHeight="false" outlineLevel="0" collapsed="false">
      <c r="B24" s="35" t="str">
        <f aca="false">IF(B16="","",B16)</f>
        <v>Z1</v>
      </c>
      <c r="C24" s="33" t="n">
        <f aca="false">IF($B24="","",IF(J24="","",I16-Datos!$C$21/10-1.5*J24/10))</f>
        <v>31.2</v>
      </c>
      <c r="D24" s="33" t="n">
        <f aca="false">IF($B24="","",E16/(H16/100)^2)</f>
        <v>59.9886666666667</v>
      </c>
      <c r="E24" s="30" t="n">
        <f aca="false">IF($B24="","",(H16-MIN(C16,D16))/200)</f>
        <v>0.625</v>
      </c>
      <c r="F24" s="33" t="n">
        <f aca="false">IF($B24="","",D24*(H16/100)*E24^2/2)</f>
        <v>17.5748046875</v>
      </c>
      <c r="G24" s="30" t="n">
        <f aca="false">IF($B24="","",IF(C24="","",F24*10^6/(0.9*H16*10*(C24*10)^2)))</f>
        <v>0.133735760217297</v>
      </c>
      <c r="H24" s="22" t="n">
        <f aca="false">IF($B24="","",IF(C24="","",IF(1-2*G24/(0.85*Datos!$C$14)&lt;0,"AUMENTAR h",0.85*Datos!$C$14/Datos!$C$25*(1-SQRT(1-2*G24/(0.85*Datos!$C$14)))*H16*10*C24*10/100)))</f>
        <v>1.4949174596741</v>
      </c>
      <c r="I24" s="22" t="n">
        <f aca="false">IF($B24="","",0.0018*420/Datos!$C$25*H16*10*I16*10/100)</f>
        <v>10.8</v>
      </c>
      <c r="J24" s="29" t="n">
        <v>12</v>
      </c>
      <c r="K24" s="34" t="n">
        <v>15</v>
      </c>
      <c r="L24" s="22" t="n">
        <f aca="false">IF($B24="","",IF(OR(J24="",K24=""),"",PI()*J24^2/400*H16/K24))</f>
        <v>11.3097335529233</v>
      </c>
      <c r="M24" s="33" t="n">
        <f aca="false">IF($B24="","",IF(L24="","",0.9*L24*100*Datos!$C$25*(C24*10-L24*100*Datos!$C$25/(0.85*Datos!$C$14*H16*10)/2)/10^6))</f>
        <v>130.19706136379</v>
      </c>
      <c r="N24" s="15" t="str">
        <f aca="false">IF($B24="","",IF(NOT(ISNUMBER(H24)),"AUMENTAR h",IF(L24="","REVISAR",IF(AND(L24&gt;=H24,L24&gt;=I24,M24&gt;=F24),"CUMPLE","NO CUMPLE"))))</f>
        <v>CUMPLE</v>
      </c>
    </row>
    <row r="25" customFormat="false" ht="15" hidden="false" customHeight="false" outlineLevel="0" collapsed="false">
      <c r="B25" s="35" t="str">
        <f aca="false">IF(B17="","",B17)</f>
        <v>Z2</v>
      </c>
      <c r="C25" s="33" t="n">
        <f aca="false">IF($B25="","",IF(J25="","",I17-Datos!$C$21/10-1.5*J25/10))</f>
        <v>36.2</v>
      </c>
      <c r="D25" s="33" t="n">
        <f aca="false">IF($B25="","",E17/(H17/100)^2)</f>
        <v>43.406648199446</v>
      </c>
      <c r="E25" s="30" t="n">
        <f aca="false">IF($B25="","",(H17-MIN(C17,D17))/200)</f>
        <v>0.8</v>
      </c>
      <c r="F25" s="33" t="n">
        <f aca="false">IF($B25="","",D25*(H17/100)*E25^2/2)</f>
        <v>26.3912421052632</v>
      </c>
      <c r="G25" s="30" t="n">
        <f aca="false">IF($B25="","",IF(C25="","",F25*10^6/(0.9*H17*10*(C25*10)^2)))</f>
        <v>0.117773228193268</v>
      </c>
      <c r="H25" s="22" t="n">
        <f aca="false">IF($B25="","",IF(C25="","",IF(1-2*G25/(0.85*Datos!$C$14)&lt;0,"AUMENTAR h",0.85*Datos!$C$14/Datos!$C$25*(1-SQRT(1-2*G25/(0.85*Datos!$C$14)))*H17*10*C25*10/100)))</f>
        <v>1.93405126946133</v>
      </c>
      <c r="I25" s="22" t="n">
        <f aca="false">IF($B25="","",0.0018*420/Datos!$C$25*H17*10*I17*10/100)</f>
        <v>15.39</v>
      </c>
      <c r="J25" s="29" t="n">
        <v>12</v>
      </c>
      <c r="K25" s="34" t="n">
        <v>12</v>
      </c>
      <c r="L25" s="22" t="n">
        <f aca="false">IF($B25="","",IF(OR(J25="",K25=""),"",PI()*J25^2/400*H17/K25))</f>
        <v>17.9070781254618</v>
      </c>
      <c r="M25" s="33" t="n">
        <f aca="false">IF($B25="","",IF(L25="","",0.9*L25*100*Datos!$C$25*(C25*10-L25*100*Datos!$C$25/(0.85*Datos!$C$14*H17*10)/2)/10^6))</f>
        <v>238.728832461179</v>
      </c>
      <c r="N25" s="15" t="str">
        <f aca="false">IF($B25="","",IF(NOT(ISNUMBER(H25)),"AUMENTAR h",IF(L25="","REVISAR",IF(AND(L25&gt;=H25,L25&gt;=I25,M25&gt;=F25),"CUMPLE","NO CUMPLE"))))</f>
        <v>CUMPLE</v>
      </c>
    </row>
    <row r="26" customFormat="false" ht="15" hidden="false" customHeight="false" outlineLevel="0" collapsed="false">
      <c r="B26" s="35" t="str">
        <f aca="false">IF(B18="","",B18)</f>
        <v/>
      </c>
      <c r="C26" s="33" t="str">
        <f aca="false">IF($B26="","",IF(J26="","",I18-Datos!$C$21/10-1.5*J26/10))</f>
        <v/>
      </c>
      <c r="D26" s="33" t="str">
        <f aca="false">IF($B26="","",E18/(H18/100)^2)</f>
        <v/>
      </c>
      <c r="E26" s="30" t="str">
        <f aca="false">IF($B26="","",(H18-MIN(C18,D18))/200)</f>
        <v/>
      </c>
      <c r="F26" s="33" t="str">
        <f aca="false">IF($B26="","",D26*(H18/100)*E26^2/2)</f>
        <v/>
      </c>
      <c r="G26" s="30" t="str">
        <f aca="false">IF($B26="","",IF(C26="","",F26*10^6/(0.9*H18*10*(C26*10)^2)))</f>
        <v/>
      </c>
      <c r="H26" s="22" t="str">
        <f aca="false">IF($B26="","",IF(C26="","",IF(1-2*G26/(0.85*Datos!$C$14)&lt;0,"AUMENTAR h",0.85*Datos!$C$14/Datos!$C$25*(1-SQRT(1-2*G26/(0.85*Datos!$C$14)))*H18*10*C26*10/100)))</f>
        <v/>
      </c>
      <c r="I26" s="22" t="str">
        <f aca="false">IF($B26="","",0.0018*420/Datos!$C$25*H18*10*I18*10/100)</f>
        <v/>
      </c>
      <c r="J26" s="29"/>
      <c r="K26" s="34"/>
      <c r="L26" s="22" t="str">
        <f aca="false">IF($B26="","",IF(OR(J26="",K26=""),"",PI()*J26^2/400*H18/K26))</f>
        <v/>
      </c>
      <c r="M26" s="33" t="str">
        <f aca="false">IF($B26="","",IF(L26="","",0.9*L26*100*Datos!$C$25*(C26*10-L26*100*Datos!$C$25/(0.85*Datos!$C$14*H18*10)/2)/10^6))</f>
        <v/>
      </c>
      <c r="N26" s="15" t="str">
        <f aca="false">IF($B26="","",IF(NOT(ISNUMBER(H26)),"AUMENTAR h",IF(L26="","REVISAR",IF(AND(L26&gt;=H26,L26&gt;=I26,M26&gt;=F26),"CUMPLE","NO CUMPLE"))))</f>
        <v/>
      </c>
    </row>
    <row r="27" customFormat="false" ht="15" hidden="false" customHeight="false" outlineLevel="0" collapsed="false">
      <c r="B27" s="35" t="str">
        <f aca="false">IF(B19="","",B19)</f>
        <v/>
      </c>
      <c r="C27" s="33" t="str">
        <f aca="false">IF($B27="","",IF(J27="","",I19-Datos!$C$21/10-1.5*J27/10))</f>
        <v/>
      </c>
      <c r="D27" s="33" t="str">
        <f aca="false">IF($B27="","",E19/(H19/100)^2)</f>
        <v/>
      </c>
      <c r="E27" s="30" t="str">
        <f aca="false">IF($B27="","",(H19-MIN(C19,D19))/200)</f>
        <v/>
      </c>
      <c r="F27" s="33" t="str">
        <f aca="false">IF($B27="","",D27*(H19/100)*E27^2/2)</f>
        <v/>
      </c>
      <c r="G27" s="30" t="str">
        <f aca="false">IF($B27="","",IF(C27="","",F27*10^6/(0.9*H19*10*(C27*10)^2)))</f>
        <v/>
      </c>
      <c r="H27" s="22" t="str">
        <f aca="false">IF($B27="","",IF(C27="","",IF(1-2*G27/(0.85*Datos!$C$14)&lt;0,"AUMENTAR h",0.85*Datos!$C$14/Datos!$C$25*(1-SQRT(1-2*G27/(0.85*Datos!$C$14)))*H19*10*C27*10/100)))</f>
        <v/>
      </c>
      <c r="I27" s="22" t="str">
        <f aca="false">IF($B27="","",0.0018*420/Datos!$C$25*H19*10*I19*10/100)</f>
        <v/>
      </c>
      <c r="J27" s="29"/>
      <c r="K27" s="34"/>
      <c r="L27" s="22" t="str">
        <f aca="false">IF($B27="","",IF(OR(J27="",K27=""),"",PI()*J27^2/400*H19/K27))</f>
        <v/>
      </c>
      <c r="M27" s="33" t="str">
        <f aca="false">IF($B27="","",IF(L27="","",0.9*L27*100*Datos!$C$25*(C27*10-L27*100*Datos!$C$25/(0.85*Datos!$C$14*H19*10)/2)/10^6))</f>
        <v/>
      </c>
      <c r="N27" s="15" t="str">
        <f aca="false">IF($B27="","",IF(NOT(ISNUMBER(H27)),"AUMENTAR h",IF(L27="","REVISAR",IF(AND(L27&gt;=H27,L27&gt;=I27,M27&gt;=F27),"CUMPLE","NO CUMPLE"))))</f>
        <v/>
      </c>
    </row>
    <row r="28" customFormat="false" ht="36" hidden="false" customHeight="true" outlineLevel="0" collapsed="false">
      <c r="B28" s="2" t="s">
        <v>665</v>
      </c>
      <c r="C28" s="2"/>
      <c r="D28" s="2"/>
      <c r="E28" s="2"/>
      <c r="F28" s="2"/>
      <c r="G28" s="2"/>
      <c r="H28" s="2"/>
      <c r="I28" s="2"/>
      <c r="J28" s="2"/>
      <c r="K28" s="2"/>
      <c r="L28" s="2"/>
      <c r="M28" s="2"/>
      <c r="N28" s="2"/>
    </row>
    <row r="30" customFormat="false" ht="19.5" hidden="false" customHeight="true" outlineLevel="0" collapsed="false">
      <c r="B30" s="3" t="s">
        <v>666</v>
      </c>
      <c r="C30" s="3"/>
      <c r="D30" s="3"/>
      <c r="E30" s="3"/>
      <c r="F30" s="3"/>
      <c r="G30" s="3"/>
      <c r="H30" s="3"/>
      <c r="I30" s="3"/>
      <c r="J30" s="3"/>
      <c r="K30" s="3"/>
      <c r="L30" s="3"/>
    </row>
    <row r="31" customFormat="false" ht="42" hidden="false" customHeight="true" outlineLevel="0" collapsed="false">
      <c r="B31" s="11" t="s">
        <v>647</v>
      </c>
      <c r="C31" s="11" t="s">
        <v>667</v>
      </c>
      <c r="D31" s="11" t="s">
        <v>668</v>
      </c>
      <c r="E31" s="11" t="s">
        <v>669</v>
      </c>
      <c r="F31" s="11" t="s">
        <v>670</v>
      </c>
      <c r="G31" s="11" t="s">
        <v>671</v>
      </c>
      <c r="H31" s="11" t="s">
        <v>672</v>
      </c>
      <c r="I31" s="11" t="s">
        <v>673</v>
      </c>
    </row>
    <row r="32" customFormat="false" ht="15" hidden="false" customHeight="false" outlineLevel="0" collapsed="false">
      <c r="B32" s="35" t="str">
        <f aca="false">IF(B16="","",B16)</f>
        <v>Z1</v>
      </c>
      <c r="C32" s="33" t="n">
        <f aca="false">IF($B32="","",IF(C24="","",MAX(0,D24*(H16/100)*(E24-C24/100))))</f>
        <v>28.164679</v>
      </c>
      <c r="D32" s="33" t="n">
        <f aca="false">IF($B32="","",IF(C24="","",0.75*SQRT(Datos!$C$14)/6*H16*10*C24*10/1000))</f>
        <v>292.5</v>
      </c>
      <c r="E32" s="15" t="str">
        <f aca="false">IF($B32="","",IF(C32="","REVISAR",IF(C32&lt;=D32,"CUMPLE","NO CUMPLE")))</f>
        <v>CUMPLE</v>
      </c>
      <c r="F32" s="14" t="n">
        <f aca="false">IF($B32="","",IF(C24="","",2*((C16+C24)+(D16+C24))*10))</f>
        <v>2248</v>
      </c>
      <c r="G32" s="33" t="n">
        <f aca="false">IF($B32="","",IF(C24="","",MAX(0,E16-D24*(C16+C24)*(D16+C24)/10000)))</f>
        <v>116.027439565333</v>
      </c>
      <c r="H32" s="33" t="n">
        <f aca="false">IF($B32="","",IF(C24="","",0.75*MIN(1/3,(1+2/(MAX(C16,D16)/MIN(C16,D16)))/6,(40*C24*10/F32+2)/12)*SQRT(Datos!$C$14)*F32*C24*10/1000))</f>
        <v>876.72</v>
      </c>
      <c r="I32" s="15" t="str">
        <f aca="false">IF($B32="","",IF(C24="","REVISAR",IF(G32&lt;=H32,"CUMPLE","NO CUMPLE")))</f>
        <v>CUMPLE</v>
      </c>
    </row>
    <row r="33" customFormat="false" ht="15" hidden="false" customHeight="false" outlineLevel="0" collapsed="false">
      <c r="B33" s="35" t="str">
        <f aca="false">IF(B17="","",B17)</f>
        <v>Z2</v>
      </c>
      <c r="C33" s="33" t="n">
        <f aca="false">IF($B33="","",IF(C25="","",MAX(0,D25*(H17/100)*(E25-C25/100))))</f>
        <v>36.123012631579</v>
      </c>
      <c r="D33" s="33" t="n">
        <f aca="false">IF($B33="","",IF(C25="","",0.75*SQRT(Datos!$C$14)/6*H17*10*C25*10/1000))</f>
        <v>429.875</v>
      </c>
      <c r="E33" s="15" t="str">
        <f aca="false">IF($B33="","",IF(C33="","REVISAR",IF(C33&lt;=D33,"CUMPLE","NO CUMPLE")))</f>
        <v>CUMPLE</v>
      </c>
      <c r="F33" s="14" t="n">
        <f aca="false">IF($B33="","",IF(C25="","",2*((C17+C25)+(D17+C25))*10))</f>
        <v>2648</v>
      </c>
      <c r="G33" s="33" t="n">
        <f aca="false">IF($B33="","",IF(C25="","",MAX(0,E17-D25*(C17+C25)*(D17+C25)/10000)))</f>
        <v>137.675296866482</v>
      </c>
      <c r="H33" s="33" t="n">
        <f aca="false">IF($B33="","",IF(C25="","",0.75*MIN(1/3,(1+2/(MAX(C17,D17)/MIN(C17,D17)))/6,(40*C25*10/F33+2)/12)*SQRT(Datos!$C$14)*F33*C25*10/1000))</f>
        <v>1198.22</v>
      </c>
      <c r="I33" s="15" t="str">
        <f aca="false">IF($B33="","",IF(C25="","REVISAR",IF(G33&lt;=H33,"CUMPLE","NO CUMPLE")))</f>
        <v>CUMPLE</v>
      </c>
    </row>
    <row r="34" customFormat="false" ht="15" hidden="false" customHeight="false" outlineLevel="0" collapsed="false">
      <c r="B34" s="35" t="str">
        <f aca="false">IF(B18="","",B18)</f>
        <v/>
      </c>
      <c r="C34" s="33" t="str">
        <f aca="false">IF($B34="","",IF(C26="","",MAX(0,D26*(H18/100)*(E26-C26/100))))</f>
        <v/>
      </c>
      <c r="D34" s="33" t="str">
        <f aca="false">IF($B34="","",IF(C26="","",0.75*SQRT(Datos!$C$14)/6*H18*10*C26*10/1000))</f>
        <v/>
      </c>
      <c r="E34" s="15" t="str">
        <f aca="false">IF($B34="","",IF(C34="","REVISAR",IF(C34&lt;=D34,"CUMPLE","NO CUMPLE")))</f>
        <v/>
      </c>
      <c r="F34" s="14" t="str">
        <f aca="false">IF($B34="","",IF(C26="","",2*((C18+C26)+(D18+C26))*10))</f>
        <v/>
      </c>
      <c r="G34" s="33" t="str">
        <f aca="false">IF($B34="","",IF(C26="","",MAX(0,E18-D26*(C18+C26)*(D18+C26)/10000)))</f>
        <v/>
      </c>
      <c r="H34" s="33" t="str">
        <f aca="false">IF($B34="","",IF(C26="","",0.75*MIN(1/3,(1+2/(MAX(C18,D18)/MIN(C18,D18)))/6,(40*C26*10/F34+2)/12)*SQRT(Datos!$C$14)*F34*C26*10/1000))</f>
        <v/>
      </c>
      <c r="I34" s="15" t="str">
        <f aca="false">IF($B34="","",IF(C26="","REVISAR",IF(G34&lt;=H34,"CUMPLE","NO CUMPLE")))</f>
        <v/>
      </c>
    </row>
    <row r="35" customFormat="false" ht="15" hidden="false" customHeight="false" outlineLevel="0" collapsed="false">
      <c r="B35" s="35" t="str">
        <f aca="false">IF(B19="","",B19)</f>
        <v/>
      </c>
      <c r="C35" s="33" t="str">
        <f aca="false">IF($B35="","",IF(C27="","",MAX(0,D27*(H19/100)*(E27-C27/100))))</f>
        <v/>
      </c>
      <c r="D35" s="33" t="str">
        <f aca="false">IF($B35="","",IF(C27="","",0.75*SQRT(Datos!$C$14)/6*H19*10*C27*10/1000))</f>
        <v/>
      </c>
      <c r="E35" s="15" t="str">
        <f aca="false">IF($B35="","",IF(C35="","REVISAR",IF(C35&lt;=D35,"CUMPLE","NO CUMPLE")))</f>
        <v/>
      </c>
      <c r="F35" s="14" t="str">
        <f aca="false">IF($B35="","",IF(C27="","",2*((C19+C27)+(D19+C27))*10))</f>
        <v/>
      </c>
      <c r="G35" s="33" t="str">
        <f aca="false">IF($B35="","",IF(C27="","",MAX(0,E19-D27*(C19+C27)*(D19+C27)/10000)))</f>
        <v/>
      </c>
      <c r="H35" s="33" t="str">
        <f aca="false">IF($B35="","",IF(C27="","",0.75*MIN(1/3,(1+2/(MAX(C19,D19)/MIN(C19,D19)))/6,(40*C27*10/F35+2)/12)*SQRT(Datos!$C$14)*F35*C27*10/1000))</f>
        <v/>
      </c>
      <c r="I35" s="15" t="str">
        <f aca="false">IF($B35="","",IF(C27="","REVISAR",IF(G35&lt;=H35,"CUMPLE","NO CUMPLE")))</f>
        <v/>
      </c>
    </row>
    <row r="36" customFormat="false" ht="27.75" hidden="false" customHeight="true" outlineLevel="0" collapsed="false">
      <c r="B36" s="2" t="s">
        <v>674</v>
      </c>
      <c r="C36" s="2"/>
      <c r="D36" s="2"/>
      <c r="E36" s="2"/>
      <c r="F36" s="2"/>
      <c r="G36" s="2"/>
      <c r="H36" s="2"/>
      <c r="I36" s="2"/>
      <c r="J36" s="2"/>
      <c r="K36" s="2"/>
      <c r="L36" s="2"/>
    </row>
  </sheetData>
  <mergeCells count="10">
    <mergeCell ref="A1:N1"/>
    <mergeCell ref="A2:N2"/>
    <mergeCell ref="B4:O4"/>
    <mergeCell ref="B12:O12"/>
    <mergeCell ref="B14:O14"/>
    <mergeCell ref="B20:O20"/>
    <mergeCell ref="B22:N22"/>
    <mergeCell ref="B28:N28"/>
    <mergeCell ref="B30:L30"/>
    <mergeCell ref="B36:L36"/>
  </mergeCells>
  <conditionalFormatting sqref="O6:O11">
    <cfRule type="expression" priority="2" aboveAverage="0" equalAverage="0" bottom="0" percent="0" rank="0" text="" dxfId="0">
      <formula>ISNUMBER(SEARCH("NO ",O6))</formula>
    </cfRule>
    <cfRule type="expression" priority="3" aboveAverage="0" equalAverage="0" bottom="0" percent="0" rank="0" text="" dxfId="1">
      <formula>OR(ISNUMBER(SEARCH("REVISAR",O6)),ISNUMBER(SEARCH("AUMENTAR",O6)))</formula>
    </cfRule>
    <cfRule type="expression" priority="4" aboveAverage="0" equalAverage="0" bottom="0" percent="0" rank="0" text="" dxfId="2">
      <formula>OR(O6="CUMPLE",O6="OK",O6="VERIFICA")</formula>
    </cfRule>
  </conditionalFormatting>
  <conditionalFormatting sqref="N16:N19">
    <cfRule type="expression" priority="5" aboveAverage="0" equalAverage="0" bottom="0" percent="0" rank="0" text="" dxfId="0">
      <formula>ISNUMBER(SEARCH("NO ",N16))</formula>
    </cfRule>
    <cfRule type="expression" priority="6" aboveAverage="0" equalAverage="0" bottom="0" percent="0" rank="0" text="" dxfId="1">
      <formula>OR(ISNUMBER(SEARCH("REVISAR",N16)),ISNUMBER(SEARCH("AUMENTAR",N16)))</formula>
    </cfRule>
    <cfRule type="expression" priority="7" aboveAverage="0" equalAverage="0" bottom="0" percent="0" rank="0" text="" dxfId="2">
      <formula>OR(N16="CUMPLE",N16="OK",N16="VERIFICA")</formula>
    </cfRule>
  </conditionalFormatting>
  <conditionalFormatting sqref="N24:N27">
    <cfRule type="expression" priority="8" aboveAverage="0" equalAverage="0" bottom="0" percent="0" rank="0" text="" dxfId="0">
      <formula>ISNUMBER(SEARCH("NO ",N24))</formula>
    </cfRule>
    <cfRule type="expression" priority="9" aboveAverage="0" equalAverage="0" bottom="0" percent="0" rank="0" text="" dxfId="1">
      <formula>OR(ISNUMBER(SEARCH("REVISAR",N24)),ISNUMBER(SEARCH("AUMENTAR",N24)))</formula>
    </cfRule>
    <cfRule type="expression" priority="10" aboveAverage="0" equalAverage="0" bottom="0" percent="0" rank="0" text="" dxfId="2">
      <formula>OR(N24="CUMPLE",N24="OK",N24="VERIFICA")</formula>
    </cfRule>
  </conditionalFormatting>
  <conditionalFormatting sqref="E32:E35">
    <cfRule type="expression" priority="11" aboveAverage="0" equalAverage="0" bottom="0" percent="0" rank="0" text="" dxfId="0">
      <formula>ISNUMBER(SEARCH("NO ",E32))</formula>
    </cfRule>
    <cfRule type="expression" priority="12" aboveAverage="0" equalAverage="0" bottom="0" percent="0" rank="0" text="" dxfId="1">
      <formula>OR(ISNUMBER(SEARCH("REVISAR",E32)),ISNUMBER(SEARCH("AUMENTAR",E32)))</formula>
    </cfRule>
    <cfRule type="expression" priority="13" aboveAverage="0" equalAverage="0" bottom="0" percent="0" rank="0" text="" dxfId="2">
      <formula>OR(E32="CUMPLE",E32="OK",E32="VERIFICA")</formula>
    </cfRule>
  </conditionalFormatting>
  <conditionalFormatting sqref="I32:I35">
    <cfRule type="expression" priority="14" aboveAverage="0" equalAverage="0" bottom="0" percent="0" rank="0" text="" dxfId="0">
      <formula>ISNUMBER(SEARCH("NO ",I32))</formula>
    </cfRule>
    <cfRule type="expression" priority="15" aboveAverage="0" equalAverage="0" bottom="0" percent="0" rank="0" text="" dxfId="1">
      <formula>OR(ISNUMBER(SEARCH("REVISAR",I32)),ISNUMBER(SEARCH("AUMENTAR",I32)))</formula>
    </cfRule>
    <cfRule type="expression" priority="16" aboveAverage="0" equalAverage="0" bottom="0" percent="0" rank="0" text="" dxfId="2">
      <formula>OR(I32="CUMPLE",I32="OK",I32="VERIFICA")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AD55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4" min="3" style="0" width="13"/>
    <col collapsed="false" customWidth="true" hidden="false" outlineLevel="0" max="5" min="5" style="0" width="22"/>
    <col collapsed="false" customWidth="true" hidden="false" outlineLevel="0" max="6" min="6" style="0" width="3"/>
    <col collapsed="false" customWidth="true" hidden="false" outlineLevel="0" max="7" min="7" style="0" width="58"/>
    <col collapsed="false" customWidth="true" hidden="false" outlineLevel="0" max="9" min="8" style="0" width="13"/>
    <col collapsed="false" customWidth="true" hidden="false" outlineLevel="0" max="10" min="10" style="0" width="3"/>
    <col collapsed="false" customWidth="true" hidden="false" outlineLevel="0" max="11" min="11" style="0" width="36"/>
    <col collapsed="false" customWidth="true" hidden="false" outlineLevel="0" max="14" min="12" style="0" width="13"/>
    <col collapsed="false" customWidth="true" hidden="false" outlineLevel="0" max="15" min="15" style="0" width="20"/>
    <col collapsed="false" customWidth="true" hidden="false" outlineLevel="0" max="16" min="16" style="0" width="3"/>
    <col collapsed="false" customWidth="true" hidden="false" outlineLevel="0" max="17" min="17" style="0" width="44"/>
    <col collapsed="false" customWidth="true" hidden="false" outlineLevel="0" max="18" min="18" style="0" width="11"/>
    <col collapsed="false" customWidth="true" hidden="false" outlineLevel="0" max="20" min="19" style="0" width="9"/>
    <col collapsed="false" customWidth="true" hidden="false" outlineLevel="0" max="21" min="21" style="0" width="3"/>
    <col collapsed="false" customWidth="true" hidden="false" outlineLevel="0" max="22" min="22" style="0" width="42"/>
    <col collapsed="false" customWidth="true" hidden="false" outlineLevel="0" max="23" min="23" style="0" width="12"/>
  </cols>
  <sheetData>
    <row r="1" customFormat="false" ht="27.75" hidden="false" customHeight="true" outlineLevel="0" collapsed="false">
      <c r="A1" s="1" t="s">
        <v>675</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customFormat="false" ht="30" hidden="false" customHeight="true" outlineLevel="0" collapsed="false">
      <c r="A2" s="2" t="s">
        <v>676</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customFormat="false" ht="19.5" hidden="false" customHeight="true" outlineLevel="0" collapsed="false">
      <c r="A3" s="3" t="s">
        <v>677</v>
      </c>
      <c r="B3" s="3"/>
      <c r="C3" s="3"/>
      <c r="D3" s="3"/>
      <c r="E3" s="3"/>
      <c r="G3" s="3" t="s">
        <v>678</v>
      </c>
      <c r="H3" s="3"/>
      <c r="I3" s="3"/>
      <c r="K3" s="3" t="s">
        <v>679</v>
      </c>
      <c r="L3" s="3"/>
      <c r="M3" s="3"/>
      <c r="Q3" s="3" t="s">
        <v>680</v>
      </c>
      <c r="R3" s="3"/>
      <c r="S3" s="3"/>
      <c r="T3" s="3"/>
      <c r="V3" s="3" t="s">
        <v>681</v>
      </c>
      <c r="W3" s="3"/>
    </row>
    <row r="4" customFormat="false" ht="42" hidden="false" customHeight="true" outlineLevel="0" collapsed="false">
      <c r="A4" s="11" t="s">
        <v>682</v>
      </c>
      <c r="B4" s="11" t="s">
        <v>518</v>
      </c>
      <c r="C4" s="11" t="s">
        <v>683</v>
      </c>
      <c r="D4" s="11" t="s">
        <v>684</v>
      </c>
      <c r="E4" s="11" t="s">
        <v>685</v>
      </c>
      <c r="G4" s="11" t="s">
        <v>686</v>
      </c>
      <c r="H4" s="11" t="s">
        <v>687</v>
      </c>
      <c r="I4" s="11" t="s">
        <v>688</v>
      </c>
      <c r="K4" s="11" t="s">
        <v>689</v>
      </c>
      <c r="L4" s="11" t="s">
        <v>690</v>
      </c>
      <c r="M4" s="11" t="s">
        <v>691</v>
      </c>
      <c r="Q4" s="11" t="s">
        <v>340</v>
      </c>
      <c r="R4" s="11" t="s">
        <v>692</v>
      </c>
      <c r="S4" s="11" t="s">
        <v>173</v>
      </c>
      <c r="T4" s="11" t="s">
        <v>221</v>
      </c>
      <c r="V4" s="11" t="s">
        <v>693</v>
      </c>
      <c r="W4" s="11" t="s">
        <v>692</v>
      </c>
    </row>
    <row r="5" customFormat="false" ht="23.85" hidden="false" customHeight="false" outlineLevel="0" collapsed="false">
      <c r="A5" s="21" t="n">
        <v>1</v>
      </c>
      <c r="B5" s="6" t="s">
        <v>694</v>
      </c>
      <c r="C5" s="21" t="n">
        <v>0.05</v>
      </c>
      <c r="D5" s="21"/>
      <c r="E5" s="6"/>
      <c r="G5" s="6" t="s">
        <v>695</v>
      </c>
      <c r="H5" s="21" t="n">
        <v>7</v>
      </c>
      <c r="I5" s="21"/>
      <c r="K5" s="21" t="n">
        <v>4.2</v>
      </c>
      <c r="L5" s="30" t="n">
        <f aca="false">PI()*K5^2/400</f>
        <v>0.13854423602331</v>
      </c>
      <c r="M5" s="30" t="n">
        <f aca="false">L5*0.785</f>
        <v>0.108757225278298</v>
      </c>
      <c r="Q5" s="6" t="s">
        <v>696</v>
      </c>
      <c r="R5" s="21" t="n">
        <v>0.027972</v>
      </c>
      <c r="S5" s="21" t="n">
        <v>0.042</v>
      </c>
      <c r="T5" s="21" t="n">
        <v>0.111</v>
      </c>
      <c r="V5" s="6" t="s">
        <v>697</v>
      </c>
      <c r="W5" s="21" t="n">
        <v>0.059</v>
      </c>
    </row>
    <row r="6" customFormat="false" ht="15" hidden="false" customHeight="false" outlineLevel="0" collapsed="false">
      <c r="A6" s="21" t="n">
        <v>2</v>
      </c>
      <c r="B6" s="6" t="s">
        <v>698</v>
      </c>
      <c r="C6" s="21" t="n">
        <v>0.05</v>
      </c>
      <c r="D6" s="21"/>
      <c r="E6" s="6"/>
      <c r="G6" s="6" t="s">
        <v>699</v>
      </c>
      <c r="H6" s="21" t="n">
        <v>5</v>
      </c>
      <c r="I6" s="21"/>
      <c r="K6" s="21" t="n">
        <v>6</v>
      </c>
      <c r="L6" s="30" t="n">
        <f aca="false">PI()*K6^2/400</f>
        <v>0.282743338823081</v>
      </c>
      <c r="M6" s="30" t="n">
        <f aca="false">L6*0.785</f>
        <v>0.221953520976119</v>
      </c>
      <c r="Q6" s="6" t="s">
        <v>700</v>
      </c>
      <c r="R6" s="21" t="n">
        <v>0.032508</v>
      </c>
      <c r="S6" s="21" t="n">
        <v>0.042</v>
      </c>
      <c r="T6" s="21" t="n">
        <v>0.129</v>
      </c>
      <c r="V6" s="6" t="s">
        <v>701</v>
      </c>
      <c r="W6" s="21" t="n">
        <v>0.083</v>
      </c>
    </row>
    <row r="7" customFormat="false" ht="15" hidden="false" customHeight="false" outlineLevel="0" collapsed="false">
      <c r="A7" s="21" t="n">
        <v>3</v>
      </c>
      <c r="B7" s="6" t="s">
        <v>702</v>
      </c>
      <c r="C7" s="21" t="n">
        <v>0.05</v>
      </c>
      <c r="D7" s="21"/>
      <c r="E7" s="6"/>
      <c r="G7" s="6" t="s">
        <v>703</v>
      </c>
      <c r="H7" s="21" t="n">
        <v>3</v>
      </c>
      <c r="I7" s="21"/>
      <c r="K7" s="21" t="n">
        <v>8</v>
      </c>
      <c r="L7" s="30" t="n">
        <f aca="false">PI()*K7^2/400</f>
        <v>0.502654824574367</v>
      </c>
      <c r="M7" s="30" t="n">
        <f aca="false">L7*0.785</f>
        <v>0.394584037290878</v>
      </c>
      <c r="Q7" s="6" t="s">
        <v>704</v>
      </c>
      <c r="R7" s="21" t="n">
        <v>0.037296</v>
      </c>
      <c r="S7" s="21" t="n">
        <v>0.042</v>
      </c>
      <c r="T7" s="21" t="n">
        <v>0.148</v>
      </c>
      <c r="V7" s="6" t="s">
        <v>705</v>
      </c>
      <c r="W7" s="21" t="n">
        <v>0.111</v>
      </c>
    </row>
    <row r="8" customFormat="false" ht="23.85" hidden="false" customHeight="false" outlineLevel="0" collapsed="false">
      <c r="A8" s="21" t="n">
        <v>4</v>
      </c>
      <c r="B8" s="6" t="s">
        <v>706</v>
      </c>
      <c r="C8" s="21" t="n">
        <v>0.05</v>
      </c>
      <c r="D8" s="21"/>
      <c r="E8" s="6"/>
      <c r="G8" s="6" t="s">
        <v>195</v>
      </c>
      <c r="H8" s="21" t="n">
        <v>1</v>
      </c>
      <c r="I8" s="21"/>
      <c r="K8" s="21" t="n">
        <v>10</v>
      </c>
      <c r="L8" s="30" t="n">
        <f aca="false">PI()*K8^2/400</f>
        <v>0.785398163397448</v>
      </c>
      <c r="M8" s="30" t="n">
        <f aca="false">L8*0.785</f>
        <v>0.616537558266997</v>
      </c>
      <c r="Q8" s="6" t="s">
        <v>707</v>
      </c>
      <c r="R8" s="21" t="n">
        <v>0.041832</v>
      </c>
      <c r="S8" s="21" t="n">
        <v>0.042</v>
      </c>
      <c r="T8" s="21" t="n">
        <v>0.166</v>
      </c>
      <c r="V8" s="6" t="s">
        <v>708</v>
      </c>
      <c r="W8" s="21" t="n">
        <v>0.143</v>
      </c>
    </row>
    <row r="9" customFormat="false" ht="23.85" hidden="false" customHeight="false" outlineLevel="0" collapsed="false">
      <c r="A9" s="21" t="n">
        <v>5</v>
      </c>
      <c r="B9" s="6" t="s">
        <v>709</v>
      </c>
      <c r="C9" s="21" t="n">
        <v>0.1</v>
      </c>
      <c r="D9" s="21"/>
      <c r="E9" s="6"/>
      <c r="G9" s="6" t="s">
        <v>710</v>
      </c>
      <c r="H9" s="21" t="n">
        <v>5</v>
      </c>
      <c r="I9" s="21"/>
      <c r="K9" s="21" t="n">
        <v>12</v>
      </c>
      <c r="L9" s="30" t="n">
        <f aca="false">PI()*K9^2/400</f>
        <v>1.13097335529233</v>
      </c>
      <c r="M9" s="30" t="n">
        <f aca="false">L9*0.785</f>
        <v>0.887814083904476</v>
      </c>
      <c r="Q9" s="6" t="s">
        <v>711</v>
      </c>
      <c r="R9" s="21" t="n">
        <v>0.04662</v>
      </c>
      <c r="S9" s="21" t="n">
        <v>0.042</v>
      </c>
      <c r="T9" s="21" t="n">
        <v>0.185</v>
      </c>
      <c r="V9" s="6" t="s">
        <v>712</v>
      </c>
      <c r="W9" s="21" t="n">
        <v>0.179</v>
      </c>
    </row>
    <row r="10" customFormat="false" ht="15" hidden="false" customHeight="false" outlineLevel="0" collapsed="false">
      <c r="A10" s="21" t="n">
        <v>6</v>
      </c>
      <c r="B10" s="6" t="s">
        <v>713</v>
      </c>
      <c r="C10" s="21" t="n">
        <v>0.2</v>
      </c>
      <c r="D10" s="21"/>
      <c r="E10" s="6"/>
      <c r="G10" s="6" t="s">
        <v>714</v>
      </c>
      <c r="H10" s="21" t="n">
        <v>5</v>
      </c>
      <c r="I10" s="21"/>
      <c r="K10" s="21" t="n">
        <v>16</v>
      </c>
      <c r="L10" s="30" t="n">
        <f aca="false">PI()*K10^2/400</f>
        <v>2.01061929829747</v>
      </c>
      <c r="M10" s="30" t="n">
        <f aca="false">L10*0.785</f>
        <v>1.57833614916351</v>
      </c>
      <c r="Q10" s="6" t="s">
        <v>715</v>
      </c>
      <c r="R10" s="21" t="n">
        <v>0.051156</v>
      </c>
      <c r="S10" s="21" t="n">
        <v>0.042</v>
      </c>
      <c r="T10" s="21" t="n">
        <v>0.203</v>
      </c>
      <c r="V10" s="6" t="s">
        <v>716</v>
      </c>
      <c r="W10" s="21" t="n">
        <v>0.219</v>
      </c>
    </row>
    <row r="11" customFormat="false" ht="15" hidden="false" customHeight="false" outlineLevel="0" collapsed="false">
      <c r="A11" s="21" t="n">
        <v>7</v>
      </c>
      <c r="B11" s="6" t="s">
        <v>717</v>
      </c>
      <c r="C11" s="21" t="n">
        <v>0.5</v>
      </c>
      <c r="D11" s="21"/>
      <c r="E11" s="6"/>
      <c r="G11" s="6" t="s">
        <v>718</v>
      </c>
      <c r="H11" s="21" t="n">
        <v>3</v>
      </c>
      <c r="I11" s="21"/>
      <c r="K11" s="21" t="n">
        <v>20</v>
      </c>
      <c r="L11" s="30" t="n">
        <f aca="false">PI()*K11^2/400</f>
        <v>3.14159265358979</v>
      </c>
      <c r="M11" s="30" t="n">
        <f aca="false">L11*0.785</f>
        <v>2.46615023306799</v>
      </c>
      <c r="Q11" s="6" t="s">
        <v>719</v>
      </c>
      <c r="R11" s="21" t="n">
        <v>0.055944</v>
      </c>
      <c r="S11" s="21" t="n">
        <v>0.042</v>
      </c>
      <c r="T11" s="21" t="n">
        <v>0.222</v>
      </c>
      <c r="V11" s="6" t="s">
        <v>720</v>
      </c>
      <c r="W11" s="21" t="n">
        <v>0.262</v>
      </c>
    </row>
    <row r="12" customFormat="false" ht="15" hidden="false" customHeight="false" outlineLevel="0" collapsed="false">
      <c r="A12" s="21" t="n">
        <v>8</v>
      </c>
      <c r="B12" s="6" t="s">
        <v>181</v>
      </c>
      <c r="C12" s="21" t="n">
        <v>0.18</v>
      </c>
      <c r="D12" s="21"/>
      <c r="E12" s="6"/>
      <c r="G12" s="6" t="s">
        <v>721</v>
      </c>
      <c r="H12" s="21" t="n">
        <v>2</v>
      </c>
      <c r="I12" s="21"/>
      <c r="K12" s="21" t="n">
        <v>25</v>
      </c>
      <c r="L12" s="30" t="n">
        <f aca="false">PI()*K12^2/400</f>
        <v>4.90873852123405</v>
      </c>
      <c r="M12" s="30" t="n">
        <f aca="false">L12*0.785</f>
        <v>3.85335973916873</v>
      </c>
      <c r="Q12" s="6" t="s">
        <v>722</v>
      </c>
      <c r="R12" s="21" t="n">
        <v>0.06048</v>
      </c>
      <c r="S12" s="21" t="n">
        <v>0.042</v>
      </c>
      <c r="T12" s="21" t="n">
        <v>0.24</v>
      </c>
      <c r="V12" s="6" t="s">
        <v>723</v>
      </c>
      <c r="W12" s="21" t="n">
        <v>0.309</v>
      </c>
    </row>
    <row r="13" customFormat="false" ht="15" hidden="false" customHeight="false" outlineLevel="0" collapsed="false">
      <c r="A13" s="21" t="n">
        <v>9</v>
      </c>
      <c r="B13" s="6" t="s">
        <v>724</v>
      </c>
      <c r="C13" s="21" t="n">
        <v>0.03</v>
      </c>
      <c r="D13" s="21"/>
      <c r="E13" s="6" t="s">
        <v>725</v>
      </c>
      <c r="G13" s="6" t="s">
        <v>726</v>
      </c>
      <c r="H13" s="21" t="n">
        <v>3</v>
      </c>
      <c r="I13" s="21"/>
      <c r="K13" s="21" t="n">
        <v>32</v>
      </c>
      <c r="L13" s="30" t="n">
        <f aca="false">PI()*K13^2/400</f>
        <v>8.04247719318987</v>
      </c>
      <c r="M13" s="30" t="n">
        <f aca="false">L13*0.785</f>
        <v>6.31334459665405</v>
      </c>
      <c r="Q13" s="6" t="s">
        <v>727</v>
      </c>
      <c r="R13" s="21" t="n">
        <v>0.065268</v>
      </c>
      <c r="S13" s="21" t="n">
        <v>0.042</v>
      </c>
      <c r="T13" s="21" t="n">
        <v>0.259</v>
      </c>
      <c r="V13" s="6" t="s">
        <v>728</v>
      </c>
      <c r="W13" s="21" t="n">
        <v>0.361</v>
      </c>
    </row>
    <row r="14" customFormat="false" ht="23.85" hidden="false" customHeight="false" outlineLevel="0" collapsed="false">
      <c r="A14" s="21" t="n">
        <v>10</v>
      </c>
      <c r="B14" s="6" t="s">
        <v>729</v>
      </c>
      <c r="C14" s="21" t="n">
        <v>0.025</v>
      </c>
      <c r="D14" s="21"/>
      <c r="E14" s="6" t="s">
        <v>725</v>
      </c>
      <c r="G14" s="6" t="s">
        <v>730</v>
      </c>
      <c r="H14" s="21" t="n">
        <v>3</v>
      </c>
      <c r="I14" s="21" t="n">
        <v>4.5</v>
      </c>
      <c r="K14" s="21" t="n">
        <v>40</v>
      </c>
      <c r="L14" s="30" t="n">
        <f aca="false">PI()*K14^2/400</f>
        <v>12.5663706143592</v>
      </c>
      <c r="M14" s="30" t="n">
        <f aca="false">L14*0.785</f>
        <v>9.86460093227195</v>
      </c>
      <c r="Q14" s="6" t="s">
        <v>731</v>
      </c>
      <c r="R14" s="21" t="n">
        <v>0.069804</v>
      </c>
      <c r="S14" s="21" t="n">
        <v>0.042</v>
      </c>
      <c r="T14" s="21" t="n">
        <v>0.277</v>
      </c>
      <c r="V14" s="6" t="s">
        <v>732</v>
      </c>
      <c r="W14" s="21" t="n">
        <v>0.418</v>
      </c>
    </row>
    <row r="15" customFormat="false" ht="23.85" hidden="false" customHeight="false" outlineLevel="0" collapsed="false">
      <c r="A15" s="21" t="n">
        <v>11</v>
      </c>
      <c r="B15" s="6" t="s">
        <v>733</v>
      </c>
      <c r="C15" s="21" t="n">
        <v>0.03</v>
      </c>
      <c r="D15" s="21"/>
      <c r="E15" s="6" t="s">
        <v>725</v>
      </c>
      <c r="G15" s="6" t="s">
        <v>734</v>
      </c>
      <c r="H15" s="21" t="n">
        <v>7</v>
      </c>
      <c r="I15" s="21" t="n">
        <v>4.5</v>
      </c>
      <c r="Q15" s="6" t="s">
        <v>735</v>
      </c>
      <c r="R15" s="21" t="n">
        <v>0.074592</v>
      </c>
      <c r="S15" s="21" t="n">
        <v>0.042</v>
      </c>
      <c r="T15" s="21" t="n">
        <v>0.296</v>
      </c>
      <c r="V15" s="6" t="s">
        <v>736</v>
      </c>
      <c r="W15" s="21" t="n">
        <v>0.478</v>
      </c>
    </row>
    <row r="16" customFormat="false" ht="23.85" hidden="false" customHeight="false" outlineLevel="0" collapsed="false">
      <c r="A16" s="21" t="n">
        <v>12</v>
      </c>
      <c r="B16" s="6" t="s">
        <v>737</v>
      </c>
      <c r="C16" s="21" t="n">
        <v>0.04</v>
      </c>
      <c r="D16" s="21"/>
      <c r="E16" s="6" t="s">
        <v>725</v>
      </c>
      <c r="G16" s="6" t="s">
        <v>738</v>
      </c>
      <c r="H16" s="21" t="n">
        <v>4</v>
      </c>
      <c r="I16" s="21" t="n">
        <v>4.5</v>
      </c>
      <c r="Q16" s="6" t="s">
        <v>739</v>
      </c>
      <c r="R16" s="21" t="n">
        <v>0.079128</v>
      </c>
      <c r="S16" s="21" t="n">
        <v>0.042</v>
      </c>
      <c r="T16" s="21" t="n">
        <v>0.314</v>
      </c>
      <c r="V16" s="6" t="s">
        <v>740</v>
      </c>
      <c r="W16" s="21" t="n">
        <v>0.541</v>
      </c>
    </row>
    <row r="17" customFormat="false" ht="19.5" hidden="false" customHeight="true" outlineLevel="0" collapsed="false">
      <c r="A17" s="21" t="n">
        <v>13</v>
      </c>
      <c r="B17" s="6" t="s">
        <v>741</v>
      </c>
      <c r="C17" s="21" t="n">
        <v>0.04</v>
      </c>
      <c r="D17" s="21"/>
      <c r="E17" s="6" t="s">
        <v>725</v>
      </c>
      <c r="G17" s="6" t="s">
        <v>742</v>
      </c>
      <c r="H17" s="21" t="n">
        <v>5</v>
      </c>
      <c r="I17" s="21" t="n">
        <v>4.5</v>
      </c>
      <c r="K17" s="3" t="s">
        <v>743</v>
      </c>
      <c r="L17" s="3"/>
      <c r="M17" s="3"/>
      <c r="Q17" s="6" t="s">
        <v>744</v>
      </c>
      <c r="R17" s="21" t="n">
        <v>0.083916</v>
      </c>
      <c r="S17" s="21" t="n">
        <v>0.042</v>
      </c>
      <c r="T17" s="21" t="n">
        <v>0.333</v>
      </c>
      <c r="V17" s="6" t="s">
        <v>745</v>
      </c>
      <c r="W17" s="21" t="n">
        <v>0.609</v>
      </c>
    </row>
    <row r="18" customFormat="false" ht="21.75" hidden="false" customHeight="true" outlineLevel="0" collapsed="false">
      <c r="A18" s="21" t="n">
        <v>14</v>
      </c>
      <c r="B18" s="6" t="s">
        <v>746</v>
      </c>
      <c r="C18" s="21" t="n">
        <v>0.07</v>
      </c>
      <c r="D18" s="21"/>
      <c r="E18" s="6" t="s">
        <v>725</v>
      </c>
      <c r="G18" s="6" t="s">
        <v>747</v>
      </c>
      <c r="H18" s="21" t="n">
        <v>4</v>
      </c>
      <c r="I18" s="21"/>
      <c r="K18" s="11" t="s">
        <v>748</v>
      </c>
      <c r="L18" s="11" t="s">
        <v>749</v>
      </c>
      <c r="M18" s="11"/>
      <c r="Q18" s="6" t="s">
        <v>750</v>
      </c>
      <c r="R18" s="21" t="n">
        <v>0.088452</v>
      </c>
      <c r="S18" s="21" t="n">
        <v>0.042</v>
      </c>
      <c r="T18" s="21" t="n">
        <v>0.351</v>
      </c>
      <c r="V18" s="6" t="s">
        <v>751</v>
      </c>
      <c r="W18" s="21" t="n">
        <v>0.679</v>
      </c>
    </row>
    <row r="19" customFormat="false" ht="23.85" hidden="false" customHeight="false" outlineLevel="0" collapsed="false">
      <c r="A19" s="21" t="n">
        <v>15</v>
      </c>
      <c r="B19" s="6" t="s">
        <v>752</v>
      </c>
      <c r="C19" s="21" t="n">
        <v>0.1</v>
      </c>
      <c r="D19" s="21"/>
      <c r="E19" s="6" t="s">
        <v>725</v>
      </c>
      <c r="G19" s="6" t="s">
        <v>753</v>
      </c>
      <c r="H19" s="21" t="n">
        <v>1</v>
      </c>
      <c r="I19" s="21"/>
      <c r="K19" s="21" t="s">
        <v>754</v>
      </c>
      <c r="L19" s="21" t="n">
        <v>17</v>
      </c>
      <c r="Q19" s="6" t="s">
        <v>755</v>
      </c>
      <c r="R19" s="21" t="n">
        <v>0.09324</v>
      </c>
      <c r="S19" s="21" t="n">
        <v>0.042</v>
      </c>
      <c r="T19" s="21" t="n">
        <v>0.37</v>
      </c>
      <c r="V19" s="6" t="s">
        <v>756</v>
      </c>
      <c r="W19" s="21" t="n">
        <v>0.76</v>
      </c>
    </row>
    <row r="20" customFormat="false" ht="23.85" hidden="false" customHeight="false" outlineLevel="0" collapsed="false">
      <c r="A20" s="21" t="n">
        <v>16</v>
      </c>
      <c r="B20" s="6" t="s">
        <v>757</v>
      </c>
      <c r="C20" s="21" t="n">
        <v>0.25</v>
      </c>
      <c r="D20" s="21"/>
      <c r="E20" s="6" t="s">
        <v>725</v>
      </c>
      <c r="G20" s="6" t="s">
        <v>758</v>
      </c>
      <c r="H20" s="21" t="n">
        <v>0.5</v>
      </c>
      <c r="I20" s="21"/>
      <c r="K20" s="21" t="s">
        <v>759</v>
      </c>
      <c r="L20" s="21" t="n">
        <v>20</v>
      </c>
      <c r="Q20" s="6" t="s">
        <v>760</v>
      </c>
      <c r="R20" s="21" t="n">
        <v>0.03663</v>
      </c>
      <c r="S20" s="21" t="n">
        <v>0.055</v>
      </c>
      <c r="T20" s="21" t="n">
        <v>0.111</v>
      </c>
      <c r="V20" s="6" t="s">
        <v>761</v>
      </c>
      <c r="W20" s="21" t="n">
        <v>0.838</v>
      </c>
    </row>
    <row r="21" customFormat="false" ht="15" hidden="false" customHeight="false" outlineLevel="0" collapsed="false">
      <c r="A21" s="21" t="n">
        <v>17</v>
      </c>
      <c r="B21" s="6" t="s">
        <v>762</v>
      </c>
      <c r="C21" s="21" t="n">
        <v>0.25</v>
      </c>
      <c r="D21" s="21"/>
      <c r="E21" s="6" t="s">
        <v>725</v>
      </c>
      <c r="G21" s="6" t="s">
        <v>763</v>
      </c>
      <c r="H21" s="21" t="n">
        <v>2</v>
      </c>
      <c r="I21" s="21"/>
      <c r="K21" s="21" t="s">
        <v>108</v>
      </c>
      <c r="L21" s="21" t="n">
        <v>25</v>
      </c>
      <c r="Q21" s="6" t="s">
        <v>764</v>
      </c>
      <c r="R21" s="21" t="n">
        <v>0.04257</v>
      </c>
      <c r="S21" s="21" t="n">
        <v>0.055</v>
      </c>
      <c r="T21" s="21" t="n">
        <v>0.129</v>
      </c>
      <c r="V21" s="6" t="s">
        <v>765</v>
      </c>
      <c r="W21" s="21" t="n">
        <v>0.924</v>
      </c>
    </row>
    <row r="22" customFormat="false" ht="15" hidden="false" customHeight="false" outlineLevel="0" collapsed="false">
      <c r="A22" s="21" t="n">
        <v>18</v>
      </c>
      <c r="B22" s="6" t="s">
        <v>766</v>
      </c>
      <c r="C22" s="21" t="n">
        <v>0.15</v>
      </c>
      <c r="D22" s="21"/>
      <c r="E22" s="6" t="s">
        <v>725</v>
      </c>
      <c r="G22" s="6" t="s">
        <v>767</v>
      </c>
      <c r="H22" s="21" t="n">
        <v>4</v>
      </c>
      <c r="I22" s="21"/>
      <c r="K22" s="21" t="s">
        <v>768</v>
      </c>
      <c r="L22" s="21" t="n">
        <v>30</v>
      </c>
      <c r="Q22" s="6" t="s">
        <v>769</v>
      </c>
      <c r="R22" s="21" t="n">
        <v>0.04884</v>
      </c>
      <c r="S22" s="21" t="n">
        <v>0.055</v>
      </c>
      <c r="T22" s="21" t="n">
        <v>0.148</v>
      </c>
      <c r="V22" s="6" t="s">
        <v>770</v>
      </c>
      <c r="W22" s="21" t="n">
        <v>1.034</v>
      </c>
    </row>
    <row r="23" customFormat="false" ht="15" hidden="false" customHeight="false" outlineLevel="0" collapsed="false">
      <c r="A23" s="21" t="n">
        <v>19</v>
      </c>
      <c r="B23" s="6" t="s">
        <v>178</v>
      </c>
      <c r="C23" s="21" t="n">
        <v>0.1</v>
      </c>
      <c r="D23" s="21"/>
      <c r="E23" s="6" t="s">
        <v>725</v>
      </c>
      <c r="G23" s="6" t="s">
        <v>771</v>
      </c>
      <c r="H23" s="21" t="n">
        <v>5</v>
      </c>
      <c r="I23" s="21"/>
      <c r="K23" s="21" t="s">
        <v>772</v>
      </c>
      <c r="L23" s="21" t="n">
        <v>35</v>
      </c>
      <c r="Q23" s="6" t="s">
        <v>773</v>
      </c>
      <c r="R23" s="21" t="n">
        <v>0.05445</v>
      </c>
      <c r="S23" s="21" t="n">
        <v>0.055</v>
      </c>
      <c r="T23" s="21" t="n">
        <v>0.165</v>
      </c>
      <c r="V23" s="6" t="s">
        <v>774</v>
      </c>
      <c r="W23" s="21" t="n">
        <v>1.152</v>
      </c>
    </row>
    <row r="24" customFormat="false" ht="15" hidden="false" customHeight="false" outlineLevel="0" collapsed="false">
      <c r="A24" s="21" t="n">
        <v>20</v>
      </c>
      <c r="B24" s="6" t="s">
        <v>775</v>
      </c>
      <c r="C24" s="21" t="n">
        <v>0.13</v>
      </c>
      <c r="D24" s="21"/>
      <c r="E24" s="6" t="s">
        <v>725</v>
      </c>
      <c r="G24" s="6" t="s">
        <v>776</v>
      </c>
      <c r="H24" s="21" t="n">
        <v>5</v>
      </c>
      <c r="I24" s="21"/>
      <c r="K24" s="21" t="s">
        <v>777</v>
      </c>
      <c r="L24" s="21" t="n">
        <v>40</v>
      </c>
      <c r="Q24" s="6" t="s">
        <v>778</v>
      </c>
      <c r="R24" s="21" t="n">
        <v>0.06105</v>
      </c>
      <c r="S24" s="21" t="n">
        <v>0.055</v>
      </c>
      <c r="T24" s="21" t="n">
        <v>0.185</v>
      </c>
      <c r="V24" s="6" t="s">
        <v>779</v>
      </c>
      <c r="W24" s="21" t="n">
        <v>1.277</v>
      </c>
    </row>
    <row r="25" customFormat="false" ht="23.85" hidden="false" customHeight="false" outlineLevel="0" collapsed="false">
      <c r="A25" s="21" t="n">
        <v>21</v>
      </c>
      <c r="B25" s="6" t="s">
        <v>780</v>
      </c>
      <c r="C25" s="21" t="n">
        <v>0.2</v>
      </c>
      <c r="D25" s="21"/>
      <c r="E25" s="6" t="s">
        <v>725</v>
      </c>
      <c r="G25" s="6" t="s">
        <v>781</v>
      </c>
      <c r="H25" s="21" t="n">
        <v>5</v>
      </c>
      <c r="I25" s="21"/>
      <c r="Q25" s="6" t="s">
        <v>782</v>
      </c>
      <c r="R25" s="21" t="n">
        <v>0.06699</v>
      </c>
      <c r="S25" s="21" t="n">
        <v>0.055</v>
      </c>
      <c r="T25" s="21" t="n">
        <v>0.203</v>
      </c>
      <c r="V25" s="6" t="s">
        <v>783</v>
      </c>
      <c r="W25" s="21" t="n">
        <v>1.402</v>
      </c>
    </row>
    <row r="26" customFormat="false" ht="21.75" hidden="false" customHeight="true" outlineLevel="0" collapsed="false">
      <c r="A26" s="21" t="n">
        <v>22</v>
      </c>
      <c r="B26" s="6" t="s">
        <v>784</v>
      </c>
      <c r="C26" s="21" t="n">
        <v>0.9</v>
      </c>
      <c r="D26" s="21"/>
      <c r="E26" s="6" t="s">
        <v>725</v>
      </c>
      <c r="G26" s="6" t="s">
        <v>785</v>
      </c>
      <c r="H26" s="21" t="n">
        <v>7.5</v>
      </c>
      <c r="I26" s="21"/>
      <c r="K26" s="11" t="s">
        <v>786</v>
      </c>
      <c r="L26" s="11" t="s">
        <v>787</v>
      </c>
      <c r="M26" s="11"/>
      <c r="Q26" s="6" t="s">
        <v>788</v>
      </c>
      <c r="R26" s="21" t="n">
        <v>0.07326</v>
      </c>
      <c r="S26" s="21" t="n">
        <v>0.055</v>
      </c>
      <c r="T26" s="21" t="n">
        <v>0.222</v>
      </c>
      <c r="V26" s="6" t="s">
        <v>789</v>
      </c>
      <c r="W26" s="21" t="n">
        <v>1.661</v>
      </c>
    </row>
    <row r="27" customFormat="false" ht="15" hidden="false" customHeight="false" outlineLevel="0" collapsed="false">
      <c r="A27" s="21" t="n">
        <v>23</v>
      </c>
      <c r="B27" s="6" t="s">
        <v>790</v>
      </c>
      <c r="C27" s="21" t="n">
        <v>0.65</v>
      </c>
      <c r="D27" s="21"/>
      <c r="E27" s="6" t="s">
        <v>725</v>
      </c>
      <c r="G27" s="6" t="s">
        <v>791</v>
      </c>
      <c r="H27" s="21" t="n">
        <v>5</v>
      </c>
      <c r="I27" s="21" t="n">
        <v>4.5</v>
      </c>
      <c r="K27" s="21" t="s">
        <v>131</v>
      </c>
      <c r="L27" s="21" t="n">
        <v>420</v>
      </c>
      <c r="Q27" s="6" t="s">
        <v>792</v>
      </c>
      <c r="R27" s="21" t="n">
        <v>0.0792</v>
      </c>
      <c r="S27" s="21" t="n">
        <v>0.055</v>
      </c>
      <c r="T27" s="21" t="n">
        <v>0.24</v>
      </c>
      <c r="V27" s="6" t="s">
        <v>793</v>
      </c>
      <c r="W27" s="21" t="n">
        <v>1.99</v>
      </c>
    </row>
    <row r="28" customFormat="false" ht="15" hidden="false" customHeight="false" outlineLevel="0" collapsed="false">
      <c r="A28" s="21" t="n">
        <v>24</v>
      </c>
      <c r="B28" s="6" t="s">
        <v>794</v>
      </c>
      <c r="C28" s="21" t="n">
        <v>0.7</v>
      </c>
      <c r="D28" s="21"/>
      <c r="E28" s="6" t="s">
        <v>725</v>
      </c>
      <c r="G28" s="6" t="s">
        <v>795</v>
      </c>
      <c r="H28" s="21" t="n">
        <v>4</v>
      </c>
      <c r="I28" s="21" t="n">
        <v>4.5</v>
      </c>
      <c r="K28" s="21" t="s">
        <v>796</v>
      </c>
      <c r="L28" s="21" t="n">
        <v>420</v>
      </c>
      <c r="Q28" s="6" t="s">
        <v>797</v>
      </c>
      <c r="R28" s="21" t="n">
        <v>0.08547</v>
      </c>
      <c r="S28" s="21" t="n">
        <v>0.055</v>
      </c>
      <c r="T28" s="21" t="n">
        <v>0.259</v>
      </c>
      <c r="V28" s="6" t="s">
        <v>798</v>
      </c>
      <c r="W28" s="21" t="n">
        <v>0.0121428571428571</v>
      </c>
    </row>
    <row r="29" customFormat="false" ht="15" hidden="false" customHeight="false" outlineLevel="0" collapsed="false">
      <c r="A29" s="21" t="n">
        <v>25</v>
      </c>
      <c r="B29" s="6" t="s">
        <v>799</v>
      </c>
      <c r="C29" s="21" t="n">
        <v>0.8</v>
      </c>
      <c r="D29" s="21"/>
      <c r="E29" s="6" t="s">
        <v>725</v>
      </c>
      <c r="G29" s="6" t="s">
        <v>800</v>
      </c>
      <c r="H29" s="21" t="n">
        <v>6</v>
      </c>
      <c r="I29" s="21" t="n">
        <v>4.5</v>
      </c>
      <c r="K29" s="21" t="s">
        <v>801</v>
      </c>
      <c r="L29" s="21" t="n">
        <v>220</v>
      </c>
      <c r="Q29" s="6" t="s">
        <v>802</v>
      </c>
      <c r="R29" s="21" t="n">
        <v>0.09141</v>
      </c>
      <c r="S29" s="21" t="n">
        <v>0.055</v>
      </c>
      <c r="T29" s="21" t="n">
        <v>0.277</v>
      </c>
      <c r="V29" s="6" t="s">
        <v>803</v>
      </c>
      <c r="W29" s="21" t="n">
        <v>0.0175510204081633</v>
      </c>
    </row>
    <row r="30" customFormat="false" ht="23.85" hidden="false" customHeight="false" outlineLevel="0" collapsed="false">
      <c r="A30" s="21" t="n">
        <v>26</v>
      </c>
      <c r="B30" s="6" t="s">
        <v>804</v>
      </c>
      <c r="C30" s="21" t="n">
        <v>0.5</v>
      </c>
      <c r="D30" s="21"/>
      <c r="E30" s="6" t="s">
        <v>725</v>
      </c>
      <c r="G30" s="6" t="s">
        <v>805</v>
      </c>
      <c r="H30" s="21" t="n">
        <v>6</v>
      </c>
      <c r="I30" s="21"/>
      <c r="Q30" s="6" t="s">
        <v>806</v>
      </c>
      <c r="R30" s="21" t="n">
        <v>0.09768</v>
      </c>
      <c r="S30" s="21" t="n">
        <v>0.055</v>
      </c>
      <c r="T30" s="21" t="n">
        <v>0.296</v>
      </c>
      <c r="V30" s="6" t="s">
        <v>807</v>
      </c>
      <c r="W30" s="21" t="n">
        <v>0.0158163265306122</v>
      </c>
    </row>
    <row r="31" customFormat="false" ht="15" hidden="false" customHeight="false" outlineLevel="0" collapsed="false">
      <c r="A31" s="21" t="n">
        <v>27</v>
      </c>
      <c r="B31" s="6" t="s">
        <v>808</v>
      </c>
      <c r="C31" s="21" t="n">
        <v>0.9</v>
      </c>
      <c r="D31" s="21"/>
      <c r="E31" s="6" t="s">
        <v>725</v>
      </c>
      <c r="G31" s="6" t="s">
        <v>809</v>
      </c>
      <c r="H31" s="21" t="n">
        <v>3</v>
      </c>
      <c r="I31" s="21" t="n">
        <v>4.5</v>
      </c>
      <c r="Q31" s="6" t="s">
        <v>810</v>
      </c>
      <c r="R31" s="21" t="n">
        <v>0.10362</v>
      </c>
      <c r="S31" s="21" t="n">
        <v>0.055</v>
      </c>
      <c r="T31" s="21" t="n">
        <v>0.314</v>
      </c>
      <c r="V31" s="6" t="s">
        <v>811</v>
      </c>
      <c r="W31" s="21" t="n">
        <v>0.0229591836734694</v>
      </c>
    </row>
    <row r="32" customFormat="false" ht="19.5" hidden="false" customHeight="true" outlineLevel="0" collapsed="false">
      <c r="A32" s="21" t="n">
        <v>28</v>
      </c>
      <c r="B32" s="6" t="s">
        <v>812</v>
      </c>
      <c r="C32" s="21" t="n">
        <v>0.45</v>
      </c>
      <c r="D32" s="21"/>
      <c r="E32" s="6" t="s">
        <v>725</v>
      </c>
      <c r="G32" s="6" t="s">
        <v>813</v>
      </c>
      <c r="H32" s="21" t="n">
        <v>4</v>
      </c>
      <c r="I32" s="21" t="n">
        <v>4.5</v>
      </c>
      <c r="K32" s="3" t="s">
        <v>814</v>
      </c>
      <c r="L32" s="3"/>
      <c r="M32" s="3"/>
      <c r="N32" s="3"/>
      <c r="O32" s="3"/>
      <c r="Q32" s="6" t="s">
        <v>815</v>
      </c>
      <c r="R32" s="21" t="n">
        <v>0.10989</v>
      </c>
      <c r="S32" s="21" t="n">
        <v>0.055</v>
      </c>
      <c r="T32" s="21" t="n">
        <v>0.333</v>
      </c>
      <c r="V32" s="6" t="s">
        <v>816</v>
      </c>
      <c r="W32" s="21" t="n">
        <v>0.0189795918367347</v>
      </c>
    </row>
    <row r="33" customFormat="false" ht="33.75" hidden="false" customHeight="true" outlineLevel="0" collapsed="false">
      <c r="A33" s="21" t="n">
        <v>29</v>
      </c>
      <c r="B33" s="6" t="s">
        <v>817</v>
      </c>
      <c r="C33" s="21" t="n">
        <v>0.45</v>
      </c>
      <c r="D33" s="21"/>
      <c r="E33" s="6" t="s">
        <v>725</v>
      </c>
      <c r="G33" s="6" t="s">
        <v>818</v>
      </c>
      <c r="H33" s="21" t="n">
        <v>5</v>
      </c>
      <c r="I33" s="21" t="n">
        <v>4.5</v>
      </c>
      <c r="K33" s="11" t="s">
        <v>247</v>
      </c>
      <c r="L33" s="11" t="s">
        <v>819</v>
      </c>
      <c r="M33" s="11" t="s">
        <v>820</v>
      </c>
      <c r="N33" s="11" t="s">
        <v>821</v>
      </c>
      <c r="O33" s="11" t="s">
        <v>822</v>
      </c>
      <c r="Q33" s="6" t="s">
        <v>823</v>
      </c>
      <c r="R33" s="21" t="n">
        <v>0.11583</v>
      </c>
      <c r="S33" s="21" t="n">
        <v>0.055</v>
      </c>
      <c r="T33" s="21" t="n">
        <v>0.351</v>
      </c>
      <c r="V33" s="6" t="s">
        <v>824</v>
      </c>
      <c r="W33" s="21" t="n">
        <v>0.0276530612244898</v>
      </c>
    </row>
    <row r="34" customFormat="false" ht="15" hidden="false" customHeight="false" outlineLevel="0" collapsed="false">
      <c r="A34" s="21" t="n">
        <v>30</v>
      </c>
      <c r="B34" s="6" t="s">
        <v>825</v>
      </c>
      <c r="C34" s="21"/>
      <c r="D34" s="21" t="n">
        <v>23.5</v>
      </c>
      <c r="E34" s="6" t="s">
        <v>826</v>
      </c>
      <c r="G34" s="6" t="s">
        <v>827</v>
      </c>
      <c r="H34" s="21" t="n">
        <v>5</v>
      </c>
      <c r="I34" s="21"/>
      <c r="K34" s="6" t="s">
        <v>259</v>
      </c>
      <c r="L34" s="59" t="n">
        <v>0.125</v>
      </c>
      <c r="M34" s="59" t="n">
        <v>0</v>
      </c>
      <c r="N34" s="59" t="n">
        <v>0.5</v>
      </c>
      <c r="O34" s="6"/>
      <c r="Q34" s="6" t="s">
        <v>828</v>
      </c>
      <c r="R34" s="21" t="n">
        <v>0.1221</v>
      </c>
      <c r="S34" s="21" t="n">
        <v>0.055</v>
      </c>
      <c r="T34" s="21" t="n">
        <v>0.37</v>
      </c>
      <c r="V34" s="6" t="s">
        <v>829</v>
      </c>
      <c r="W34" s="21" t="n">
        <v>0.0360204081632653</v>
      </c>
    </row>
    <row r="35" customFormat="false" ht="23.85" hidden="false" customHeight="false" outlineLevel="0" collapsed="false">
      <c r="A35" s="21" t="n">
        <v>31</v>
      </c>
      <c r="B35" s="6" t="s">
        <v>830</v>
      </c>
      <c r="C35" s="21"/>
      <c r="D35" s="21" t="n">
        <v>25</v>
      </c>
      <c r="E35" s="6" t="s">
        <v>826</v>
      </c>
      <c r="G35" s="6" t="s">
        <v>831</v>
      </c>
      <c r="H35" s="21" t="n">
        <v>5</v>
      </c>
      <c r="I35" s="21"/>
      <c r="K35" s="6" t="s">
        <v>337</v>
      </c>
      <c r="L35" s="59" t="n">
        <v>0.0909090909090909</v>
      </c>
      <c r="M35" s="59" t="n">
        <v>0.111111111111111</v>
      </c>
      <c r="N35" s="59" t="n">
        <v>0.575</v>
      </c>
      <c r="O35" s="6" t="s">
        <v>832</v>
      </c>
      <c r="Q35" s="6" t="s">
        <v>833</v>
      </c>
      <c r="R35" s="21" t="n">
        <v>0.04329</v>
      </c>
      <c r="S35" s="21" t="n">
        <v>0.065</v>
      </c>
      <c r="T35" s="21" t="n">
        <v>0.111</v>
      </c>
      <c r="V35" s="6" t="s">
        <v>834</v>
      </c>
      <c r="W35" s="21" t="n">
        <v>0.0226530612244898</v>
      </c>
    </row>
    <row r="36" customFormat="false" ht="23.85" hidden="false" customHeight="false" outlineLevel="0" collapsed="false">
      <c r="A36" s="21" t="n">
        <v>32</v>
      </c>
      <c r="B36" s="6" t="s">
        <v>835</v>
      </c>
      <c r="C36" s="21"/>
      <c r="D36" s="21" t="n">
        <v>25</v>
      </c>
      <c r="E36" s="6" t="s">
        <v>826</v>
      </c>
      <c r="G36" s="6" t="s">
        <v>836</v>
      </c>
      <c r="H36" s="21" t="n">
        <v>3</v>
      </c>
      <c r="I36" s="21"/>
      <c r="K36" s="6" t="s">
        <v>837</v>
      </c>
      <c r="L36" s="59" t="n">
        <v>0.0909090909090909</v>
      </c>
      <c r="M36" s="59" t="n">
        <v>0.1</v>
      </c>
      <c r="N36" s="59" t="n">
        <v>0.575</v>
      </c>
      <c r="O36" s="6" t="s">
        <v>832</v>
      </c>
      <c r="Q36" s="6" t="s">
        <v>838</v>
      </c>
      <c r="R36" s="21" t="n">
        <v>0.05031</v>
      </c>
      <c r="S36" s="21" t="n">
        <v>0.065</v>
      </c>
      <c r="T36" s="21" t="n">
        <v>0.129</v>
      </c>
      <c r="V36" s="6" t="s">
        <v>839</v>
      </c>
      <c r="W36" s="21" t="n">
        <v>0.0331632653061225</v>
      </c>
    </row>
    <row r="37" customFormat="false" ht="15" hidden="false" customHeight="false" outlineLevel="0" collapsed="false">
      <c r="A37" s="21" t="n">
        <v>33</v>
      </c>
      <c r="B37" s="6" t="s">
        <v>840</v>
      </c>
      <c r="C37" s="21"/>
      <c r="D37" s="21" t="n">
        <v>18</v>
      </c>
      <c r="E37" s="6" t="s">
        <v>826</v>
      </c>
      <c r="G37" s="6" t="s">
        <v>841</v>
      </c>
      <c r="H37" s="21" t="n">
        <v>2</v>
      </c>
      <c r="I37" s="21"/>
      <c r="K37" s="6" t="s">
        <v>842</v>
      </c>
      <c r="L37" s="59" t="n">
        <v>0.0625</v>
      </c>
      <c r="M37" s="59" t="n">
        <v>0.0909090909090909</v>
      </c>
      <c r="N37" s="59" t="n">
        <v>0.5</v>
      </c>
      <c r="O37" s="6"/>
      <c r="Q37" s="6" t="s">
        <v>843</v>
      </c>
      <c r="R37" s="21" t="n">
        <v>0.05772</v>
      </c>
      <c r="S37" s="21" t="n">
        <v>0.065</v>
      </c>
      <c r="T37" s="21" t="n">
        <v>0.148</v>
      </c>
      <c r="V37" s="6" t="s">
        <v>844</v>
      </c>
      <c r="W37" s="21" t="n">
        <v>0.0257142857142857</v>
      </c>
    </row>
    <row r="38" customFormat="false" ht="15" hidden="false" customHeight="false" outlineLevel="0" collapsed="false">
      <c r="A38" s="21" t="n">
        <v>34</v>
      </c>
      <c r="B38" s="6" t="s">
        <v>845</v>
      </c>
      <c r="C38" s="21"/>
      <c r="D38" s="21" t="n">
        <v>36</v>
      </c>
      <c r="E38" s="6" t="s">
        <v>826</v>
      </c>
      <c r="G38" s="6" t="s">
        <v>846</v>
      </c>
      <c r="H38" s="21" t="n">
        <v>5</v>
      </c>
      <c r="I38" s="21"/>
      <c r="K38" s="6" t="s">
        <v>243</v>
      </c>
      <c r="L38" s="59" t="n">
        <v>0</v>
      </c>
      <c r="M38" s="59" t="n">
        <v>0.5</v>
      </c>
      <c r="N38" s="59" t="n">
        <v>1</v>
      </c>
      <c r="O38" s="6" t="s">
        <v>847</v>
      </c>
      <c r="Q38" s="6" t="s">
        <v>848</v>
      </c>
      <c r="R38" s="21" t="n">
        <v>0.06435</v>
      </c>
      <c r="S38" s="21" t="n">
        <v>0.065</v>
      </c>
      <c r="T38" s="21" t="n">
        <v>0.165</v>
      </c>
      <c r="V38" s="6" t="s">
        <v>849</v>
      </c>
      <c r="W38" s="21" t="n">
        <v>0.0377551020408163</v>
      </c>
    </row>
    <row r="39" customFormat="false" ht="15" hidden="false" customHeight="false" outlineLevel="0" collapsed="false">
      <c r="A39" s="21" t="n">
        <v>35</v>
      </c>
      <c r="B39" s="6" t="s">
        <v>850</v>
      </c>
      <c r="C39" s="21"/>
      <c r="D39" s="21" t="n">
        <v>8</v>
      </c>
      <c r="E39" s="6" t="s">
        <v>826</v>
      </c>
      <c r="G39" s="6" t="s">
        <v>851</v>
      </c>
      <c r="H39" s="21" t="n">
        <v>6</v>
      </c>
      <c r="I39" s="21" t="n">
        <v>9</v>
      </c>
      <c r="Q39" s="6" t="s">
        <v>852</v>
      </c>
      <c r="R39" s="21" t="n">
        <v>0.07215</v>
      </c>
      <c r="S39" s="21" t="n">
        <v>0.065</v>
      </c>
      <c r="T39" s="21" t="n">
        <v>0.185</v>
      </c>
      <c r="V39" s="6" t="s">
        <v>853</v>
      </c>
      <c r="W39" s="21" t="n">
        <v>0.0493877551020408</v>
      </c>
    </row>
    <row r="40" customFormat="false" ht="15" hidden="false" customHeight="false" outlineLevel="0" collapsed="false">
      <c r="A40" s="21" t="n">
        <v>36</v>
      </c>
      <c r="B40" s="6" t="s">
        <v>854</v>
      </c>
      <c r="C40" s="21"/>
      <c r="D40" s="21" t="n">
        <v>16</v>
      </c>
      <c r="E40" s="6" t="s">
        <v>826</v>
      </c>
      <c r="G40" s="6" t="s">
        <v>855</v>
      </c>
      <c r="H40" s="21" t="n">
        <v>12</v>
      </c>
      <c r="I40" s="21" t="n">
        <v>14</v>
      </c>
      <c r="Q40" s="6" t="s">
        <v>856</v>
      </c>
      <c r="R40" s="21" t="n">
        <v>0.07917</v>
      </c>
      <c r="S40" s="21" t="n">
        <v>0.065</v>
      </c>
      <c r="T40" s="21" t="n">
        <v>0.203</v>
      </c>
      <c r="V40" s="6" t="s">
        <v>857</v>
      </c>
      <c r="W40" s="21" t="n">
        <v>0.0425510204081633</v>
      </c>
    </row>
    <row r="41" customFormat="false" ht="19.5" hidden="false" customHeight="true" outlineLevel="0" collapsed="false">
      <c r="A41" s="21" t="n">
        <v>37</v>
      </c>
      <c r="B41" s="6" t="s">
        <v>858</v>
      </c>
      <c r="C41" s="21"/>
      <c r="D41" s="21" t="n">
        <v>5</v>
      </c>
      <c r="E41" s="6" t="s">
        <v>826</v>
      </c>
      <c r="G41" s="6" t="s">
        <v>859</v>
      </c>
      <c r="H41" s="21" t="n">
        <v>2.5</v>
      </c>
      <c r="I41" s="21"/>
      <c r="K41" s="3" t="s">
        <v>860</v>
      </c>
      <c r="L41" s="3"/>
      <c r="M41" s="3"/>
      <c r="N41" s="3"/>
      <c r="Q41" s="6" t="s">
        <v>861</v>
      </c>
      <c r="R41" s="21" t="n">
        <v>0.08658</v>
      </c>
      <c r="S41" s="21" t="n">
        <v>0.065</v>
      </c>
      <c r="T41" s="21" t="n">
        <v>0.222</v>
      </c>
      <c r="V41" s="6" t="s">
        <v>862</v>
      </c>
      <c r="W41" s="21" t="n">
        <v>0.0557142857142857</v>
      </c>
    </row>
    <row r="42" customFormat="false" ht="33.75" hidden="false" customHeight="true" outlineLevel="0" collapsed="false">
      <c r="A42" s="21" t="n">
        <v>38</v>
      </c>
      <c r="B42" s="6" t="s">
        <v>863</v>
      </c>
      <c r="C42" s="21"/>
      <c r="D42" s="21" t="n">
        <v>6.5</v>
      </c>
      <c r="E42" s="6" t="s">
        <v>864</v>
      </c>
      <c r="G42" s="6" t="s">
        <v>865</v>
      </c>
      <c r="H42" s="21" t="n">
        <v>5</v>
      </c>
      <c r="I42" s="21"/>
      <c r="K42" s="11" t="s">
        <v>527</v>
      </c>
      <c r="L42" s="11" t="s">
        <v>239</v>
      </c>
      <c r="M42" s="11" t="s">
        <v>241</v>
      </c>
      <c r="N42" s="11" t="s">
        <v>866</v>
      </c>
      <c r="O42" s="60" t="s">
        <v>243</v>
      </c>
      <c r="Q42" s="6" t="s">
        <v>867</v>
      </c>
      <c r="R42" s="21" t="n">
        <v>0.0936</v>
      </c>
      <c r="S42" s="21" t="n">
        <v>0.065</v>
      </c>
      <c r="T42" s="21" t="n">
        <v>0.24</v>
      </c>
      <c r="V42" s="6" t="s">
        <v>868</v>
      </c>
      <c r="W42" s="21" t="n">
        <v>0.0480612244897959</v>
      </c>
    </row>
    <row r="43" customFormat="false" ht="15" hidden="false" customHeight="false" outlineLevel="0" collapsed="false">
      <c r="A43" s="21" t="n">
        <v>39</v>
      </c>
      <c r="B43" s="6" t="s">
        <v>869</v>
      </c>
      <c r="C43" s="21"/>
      <c r="D43" s="21" t="n">
        <v>14</v>
      </c>
      <c r="E43" s="6" t="s">
        <v>864</v>
      </c>
      <c r="G43" s="6" t="s">
        <v>870</v>
      </c>
      <c r="H43" s="21" t="n">
        <v>3</v>
      </c>
      <c r="I43" s="21" t="n">
        <v>4.5</v>
      </c>
      <c r="K43" s="6" t="s">
        <v>238</v>
      </c>
      <c r="L43" s="21" t="n">
        <v>20</v>
      </c>
      <c r="M43" s="21" t="n">
        <v>24</v>
      </c>
      <c r="N43" s="21" t="n">
        <v>28</v>
      </c>
      <c r="O43" s="21" t="n">
        <v>10</v>
      </c>
      <c r="Q43" s="6" t="s">
        <v>871</v>
      </c>
      <c r="R43" s="21" t="n">
        <v>0.10101</v>
      </c>
      <c r="S43" s="21" t="n">
        <v>0.065</v>
      </c>
      <c r="T43" s="21" t="n">
        <v>0.259</v>
      </c>
      <c r="V43" s="6" t="s">
        <v>872</v>
      </c>
      <c r="W43" s="21" t="n">
        <v>0.0630612244897959</v>
      </c>
    </row>
    <row r="44" customFormat="false" ht="15" hidden="false" customHeight="false" outlineLevel="0" collapsed="false">
      <c r="A44" s="21" t="n">
        <v>40</v>
      </c>
      <c r="B44" s="6" t="s">
        <v>873</v>
      </c>
      <c r="C44" s="21"/>
      <c r="D44" s="21" t="n">
        <v>11</v>
      </c>
      <c r="E44" s="6" t="s">
        <v>864</v>
      </c>
      <c r="G44" s="6" t="s">
        <v>874</v>
      </c>
      <c r="H44" s="21" t="n">
        <v>2</v>
      </c>
      <c r="I44" s="21" t="n">
        <v>4.5</v>
      </c>
      <c r="K44" s="6" t="s">
        <v>875</v>
      </c>
      <c r="L44" s="21" t="n">
        <v>16</v>
      </c>
      <c r="M44" s="21" t="n">
        <v>18.5</v>
      </c>
      <c r="N44" s="21" t="n">
        <v>21</v>
      </c>
      <c r="O44" s="21" t="n">
        <v>8</v>
      </c>
      <c r="Q44" s="6" t="s">
        <v>876</v>
      </c>
      <c r="R44" s="21" t="n">
        <v>0.10803</v>
      </c>
      <c r="S44" s="21" t="n">
        <v>0.065</v>
      </c>
      <c r="T44" s="21" t="n">
        <v>0.277</v>
      </c>
      <c r="V44" s="6" t="s">
        <v>877</v>
      </c>
      <c r="W44" s="21" t="n">
        <v>0.0755102040816327</v>
      </c>
    </row>
    <row r="45" customFormat="false" ht="15" hidden="false" customHeight="false" outlineLevel="0" collapsed="false">
      <c r="A45" s="21" t="n">
        <v>41</v>
      </c>
      <c r="B45" s="6" t="s">
        <v>878</v>
      </c>
      <c r="C45" s="21"/>
      <c r="D45" s="21" t="n">
        <v>9</v>
      </c>
      <c r="E45" s="6" t="s">
        <v>864</v>
      </c>
      <c r="G45" s="6" t="s">
        <v>879</v>
      </c>
      <c r="H45" s="21" t="n">
        <v>2</v>
      </c>
      <c r="I45" s="21" t="n">
        <v>4.5</v>
      </c>
      <c r="Q45" s="6" t="s">
        <v>880</v>
      </c>
      <c r="R45" s="21" t="n">
        <v>0.11544</v>
      </c>
      <c r="S45" s="21" t="n">
        <v>0.065</v>
      </c>
      <c r="T45" s="21" t="n">
        <v>0.296</v>
      </c>
      <c r="V45" s="6" t="s">
        <v>881</v>
      </c>
      <c r="W45" s="21" t="n">
        <v>0.0920408163265306</v>
      </c>
    </row>
    <row r="46" customFormat="false" ht="15" hidden="false" customHeight="false" outlineLevel="0" collapsed="false">
      <c r="A46" s="21" t="n">
        <v>42</v>
      </c>
      <c r="B46" s="6" t="s">
        <v>882</v>
      </c>
      <c r="C46" s="21"/>
      <c r="D46" s="21" t="n">
        <v>7</v>
      </c>
      <c r="E46" s="6" t="s">
        <v>864</v>
      </c>
      <c r="G46" s="6" t="s">
        <v>883</v>
      </c>
      <c r="H46" s="21" t="n">
        <v>4</v>
      </c>
      <c r="I46" s="21" t="n">
        <v>4.5</v>
      </c>
      <c r="Q46" s="6" t="s">
        <v>884</v>
      </c>
      <c r="R46" s="21" t="n">
        <v>0.12246</v>
      </c>
      <c r="S46" s="21" t="n">
        <v>0.065</v>
      </c>
      <c r="T46" s="21" t="n">
        <v>0.314</v>
      </c>
      <c r="V46" s="6" t="s">
        <v>885</v>
      </c>
      <c r="W46" s="21" t="n">
        <v>0.109285714285714</v>
      </c>
    </row>
    <row r="47" customFormat="false" ht="19.5" hidden="false" customHeight="true" outlineLevel="0" collapsed="false">
      <c r="A47" s="21" t="n">
        <v>43</v>
      </c>
      <c r="B47" s="6" t="s">
        <v>886</v>
      </c>
      <c r="C47" s="21"/>
      <c r="D47" s="21" t="n">
        <v>14</v>
      </c>
      <c r="E47" s="6" t="s">
        <v>864</v>
      </c>
      <c r="G47" s="6" t="s">
        <v>887</v>
      </c>
      <c r="H47" s="21" t="n">
        <v>2</v>
      </c>
      <c r="I47" s="21"/>
      <c r="K47" s="3" t="s">
        <v>888</v>
      </c>
      <c r="L47" s="3"/>
      <c r="M47" s="3"/>
      <c r="N47" s="3"/>
      <c r="O47" s="3"/>
      <c r="Q47" s="6" t="s">
        <v>889</v>
      </c>
      <c r="R47" s="21" t="n">
        <v>0.12987</v>
      </c>
      <c r="S47" s="21" t="n">
        <v>0.065</v>
      </c>
      <c r="T47" s="21" t="n">
        <v>0.333</v>
      </c>
      <c r="V47" s="6" t="s">
        <v>890</v>
      </c>
      <c r="W47" s="21" t="n">
        <v>0.0889795918367347</v>
      </c>
    </row>
    <row r="48" customFormat="false" ht="33.75" hidden="false" customHeight="true" outlineLevel="0" collapsed="false">
      <c r="A48" s="21" t="n">
        <v>44</v>
      </c>
      <c r="B48" s="6" t="s">
        <v>891</v>
      </c>
      <c r="C48" s="21"/>
      <c r="D48" s="21" t="n">
        <v>10</v>
      </c>
      <c r="E48" s="6" t="s">
        <v>864</v>
      </c>
      <c r="G48" s="6" t="s">
        <v>892</v>
      </c>
      <c r="H48" s="21" t="n">
        <v>5</v>
      </c>
      <c r="I48" s="21"/>
      <c r="K48" s="11" t="s">
        <v>893</v>
      </c>
      <c r="L48" s="11" t="s">
        <v>894</v>
      </c>
      <c r="M48" s="11" t="s">
        <v>895</v>
      </c>
      <c r="N48" s="11" t="s">
        <v>155</v>
      </c>
      <c r="O48" s="11" t="s">
        <v>896</v>
      </c>
      <c r="Q48" s="6" t="s">
        <v>897</v>
      </c>
      <c r="R48" s="21" t="n">
        <v>0.13689</v>
      </c>
      <c r="S48" s="21" t="n">
        <v>0.065</v>
      </c>
      <c r="T48" s="21" t="n">
        <v>0.351</v>
      </c>
      <c r="V48" s="6" t="s">
        <v>898</v>
      </c>
      <c r="W48" s="21" t="n">
        <v>0.108673469387755</v>
      </c>
    </row>
    <row r="49" customFormat="false" ht="15" hidden="false" customHeight="false" outlineLevel="0" collapsed="false">
      <c r="A49" s="21" t="n">
        <v>45</v>
      </c>
      <c r="B49" s="6" t="s">
        <v>899</v>
      </c>
      <c r="C49" s="21" t="n">
        <v>0.95</v>
      </c>
      <c r="D49" s="21"/>
      <c r="E49" s="6" t="s">
        <v>864</v>
      </c>
      <c r="G49" s="6" t="s">
        <v>900</v>
      </c>
      <c r="H49" s="21" t="n">
        <v>2</v>
      </c>
      <c r="I49" s="21"/>
      <c r="K49" s="61" t="s">
        <v>901</v>
      </c>
      <c r="Q49" s="6" t="s">
        <v>902</v>
      </c>
      <c r="R49" s="21" t="n">
        <v>0.1443</v>
      </c>
      <c r="S49" s="21" t="n">
        <v>0.065</v>
      </c>
      <c r="T49" s="21" t="n">
        <v>0.37</v>
      </c>
      <c r="V49" s="6" t="s">
        <v>903</v>
      </c>
      <c r="W49" s="21" t="n">
        <v>0.129285714285714</v>
      </c>
    </row>
    <row r="50" customFormat="false" ht="15" hidden="false" customHeight="false" outlineLevel="0" collapsed="false">
      <c r="A50" s="21" t="n">
        <v>46</v>
      </c>
      <c r="B50" s="6" t="s">
        <v>904</v>
      </c>
      <c r="C50" s="21"/>
      <c r="D50" s="21" t="n">
        <v>6</v>
      </c>
      <c r="E50" s="6" t="s">
        <v>905</v>
      </c>
      <c r="G50" s="6" t="s">
        <v>906</v>
      </c>
      <c r="H50" s="21" t="n">
        <v>3</v>
      </c>
      <c r="I50" s="21"/>
      <c r="K50" s="6" t="s">
        <v>153</v>
      </c>
      <c r="L50" s="21" t="n">
        <v>2.75</v>
      </c>
      <c r="M50" s="21" t="n">
        <v>2.25</v>
      </c>
      <c r="N50" s="21" t="n">
        <v>1.75</v>
      </c>
      <c r="O50" s="21" t="n">
        <v>0.65</v>
      </c>
      <c r="Q50" s="6" t="s">
        <v>907</v>
      </c>
      <c r="R50" s="21" t="n">
        <v>0.05994</v>
      </c>
      <c r="S50" s="21" t="n">
        <v>0.09</v>
      </c>
      <c r="T50" s="21" t="n">
        <v>0.111</v>
      </c>
      <c r="V50" s="6" t="s">
        <v>908</v>
      </c>
      <c r="W50" s="21" t="n">
        <v>0.12530612244898</v>
      </c>
    </row>
    <row r="51" customFormat="false" ht="15" hidden="false" customHeight="false" outlineLevel="0" collapsed="false">
      <c r="A51" s="21" t="n">
        <v>47</v>
      </c>
      <c r="B51" s="6" t="s">
        <v>909</v>
      </c>
      <c r="C51" s="21"/>
      <c r="D51" s="21" t="n">
        <v>9</v>
      </c>
      <c r="E51" s="6" t="s">
        <v>905</v>
      </c>
      <c r="G51" s="6" t="s">
        <v>910</v>
      </c>
      <c r="H51" s="21" t="n">
        <v>3.5</v>
      </c>
      <c r="I51" s="21"/>
      <c r="K51" s="6" t="s">
        <v>911</v>
      </c>
      <c r="L51" s="21" t="n">
        <v>2.25</v>
      </c>
      <c r="M51" s="21" t="n">
        <v>1.75</v>
      </c>
      <c r="N51" s="21" t="n">
        <v>1.4</v>
      </c>
      <c r="O51" s="21" t="n">
        <v>0.52</v>
      </c>
      <c r="Q51" s="6" t="s">
        <v>912</v>
      </c>
      <c r="R51" s="21" t="n">
        <v>0.06966</v>
      </c>
      <c r="S51" s="21" t="n">
        <v>0.09</v>
      </c>
      <c r="T51" s="21" t="n">
        <v>0.129</v>
      </c>
      <c r="V51" s="6" t="s">
        <v>913</v>
      </c>
      <c r="W51" s="21" t="n">
        <v>0.149285714285714</v>
      </c>
    </row>
    <row r="52" customFormat="false" ht="23.85" hidden="false" customHeight="false" outlineLevel="0" collapsed="false">
      <c r="A52" s="21" t="n">
        <v>48</v>
      </c>
      <c r="B52" s="6" t="s">
        <v>914</v>
      </c>
      <c r="C52" s="21"/>
      <c r="D52" s="21" t="n">
        <v>11</v>
      </c>
      <c r="E52" s="6" t="s">
        <v>905</v>
      </c>
      <c r="G52" s="6" t="s">
        <v>915</v>
      </c>
      <c r="H52" s="21" t="n">
        <v>5</v>
      </c>
      <c r="I52" s="21" t="n">
        <v>9</v>
      </c>
      <c r="K52" s="6" t="s">
        <v>916</v>
      </c>
      <c r="L52" s="21" t="n">
        <v>2.25</v>
      </c>
      <c r="M52" s="21" t="n">
        <v>1.75</v>
      </c>
      <c r="N52" s="21" t="n">
        <v>1.4</v>
      </c>
      <c r="O52" s="21" t="n">
        <v>0.52</v>
      </c>
      <c r="Q52" s="6" t="s">
        <v>917</v>
      </c>
      <c r="R52" s="21" t="n">
        <v>0.07992</v>
      </c>
      <c r="S52" s="21" t="n">
        <v>0.09</v>
      </c>
      <c r="T52" s="21" t="n">
        <v>0.148</v>
      </c>
      <c r="V52" s="6" t="s">
        <v>918</v>
      </c>
      <c r="W52" s="21" t="n">
        <v>0.195816326530612</v>
      </c>
    </row>
    <row r="53" customFormat="false" ht="23.85" hidden="false" customHeight="false" outlineLevel="0" collapsed="false">
      <c r="A53" s="21" t="n">
        <v>49</v>
      </c>
      <c r="B53" s="6" t="s">
        <v>919</v>
      </c>
      <c r="C53" s="21"/>
      <c r="D53" s="21" t="n">
        <v>13</v>
      </c>
      <c r="E53" s="6" t="s">
        <v>905</v>
      </c>
      <c r="G53" s="6" t="s">
        <v>920</v>
      </c>
      <c r="H53" s="21" t="n">
        <v>2.5</v>
      </c>
      <c r="I53" s="21" t="n">
        <v>9</v>
      </c>
      <c r="Q53" s="6" t="s">
        <v>921</v>
      </c>
      <c r="R53" s="21" t="n">
        <v>0.0891</v>
      </c>
      <c r="S53" s="21" t="n">
        <v>0.09</v>
      </c>
      <c r="T53" s="21" t="n">
        <v>0.165</v>
      </c>
      <c r="V53" s="6" t="s">
        <v>922</v>
      </c>
      <c r="W53" s="21" t="n">
        <v>0.086</v>
      </c>
    </row>
    <row r="54" customFormat="false" ht="23.85" hidden="false" customHeight="false" outlineLevel="0" collapsed="false">
      <c r="A54" s="21" t="n">
        <v>50</v>
      </c>
      <c r="B54" s="6" t="s">
        <v>923</v>
      </c>
      <c r="C54" s="21"/>
      <c r="D54" s="21" t="n">
        <v>17</v>
      </c>
      <c r="E54" s="6" t="s">
        <v>924</v>
      </c>
      <c r="G54" s="6" t="s">
        <v>925</v>
      </c>
      <c r="H54" s="21" t="n">
        <v>4</v>
      </c>
      <c r="I54" s="21" t="n">
        <v>9</v>
      </c>
      <c r="K54" s="61" t="s">
        <v>926</v>
      </c>
      <c r="Q54" s="6" t="s">
        <v>927</v>
      </c>
      <c r="R54" s="21" t="n">
        <v>0.0999</v>
      </c>
      <c r="S54" s="21" t="n">
        <v>0.09</v>
      </c>
      <c r="T54" s="21" t="n">
        <v>0.185</v>
      </c>
      <c r="V54" s="6" t="s">
        <v>928</v>
      </c>
      <c r="W54" s="21" t="n">
        <v>0.106</v>
      </c>
    </row>
    <row r="55" customFormat="false" ht="23.85" hidden="false" customHeight="false" outlineLevel="0" collapsed="false">
      <c r="A55" s="21" t="n">
        <v>51</v>
      </c>
      <c r="B55" s="6" t="s">
        <v>929</v>
      </c>
      <c r="C55" s="21"/>
      <c r="D55" s="21" t="n">
        <v>15</v>
      </c>
      <c r="E55" s="6" t="s">
        <v>924</v>
      </c>
      <c r="G55" s="6" t="s">
        <v>930</v>
      </c>
      <c r="H55" s="21" t="n">
        <v>3</v>
      </c>
      <c r="I55" s="21"/>
      <c r="K55" s="6" t="s">
        <v>153</v>
      </c>
      <c r="L55" s="21" t="n">
        <v>0.26</v>
      </c>
      <c r="M55" s="21" t="n">
        <v>0.22</v>
      </c>
      <c r="N55" s="21" t="n">
        <v>0.19</v>
      </c>
      <c r="O55" s="21" t="n">
        <v>0.07</v>
      </c>
      <c r="Q55" s="6" t="s">
        <v>931</v>
      </c>
      <c r="R55" s="21" t="n">
        <v>0.10962</v>
      </c>
      <c r="S55" s="21" t="n">
        <v>0.09</v>
      </c>
      <c r="T55" s="21" t="n">
        <v>0.203</v>
      </c>
      <c r="V55" s="6" t="s">
        <v>932</v>
      </c>
      <c r="W55" s="21" t="n">
        <v>0.133</v>
      </c>
    </row>
    <row r="56" customFormat="false" ht="23.85" hidden="false" customHeight="false" outlineLevel="0" collapsed="false">
      <c r="A56" s="21" t="n">
        <v>52</v>
      </c>
      <c r="B56" s="6" t="s">
        <v>933</v>
      </c>
      <c r="C56" s="21"/>
      <c r="D56" s="21" t="n">
        <v>17</v>
      </c>
      <c r="E56" s="6" t="s">
        <v>924</v>
      </c>
      <c r="G56" s="6" t="s">
        <v>934</v>
      </c>
      <c r="H56" s="21" t="n">
        <v>5</v>
      </c>
      <c r="I56" s="21"/>
      <c r="K56" s="6" t="s">
        <v>911</v>
      </c>
      <c r="L56" s="21" t="n">
        <v>0.22</v>
      </c>
      <c r="M56" s="21" t="n">
        <v>0.19</v>
      </c>
      <c r="N56" s="21" t="n">
        <v>0.15</v>
      </c>
      <c r="O56" s="21" t="n">
        <v>0.055</v>
      </c>
      <c r="Q56" s="6" t="s">
        <v>318</v>
      </c>
      <c r="R56" s="21" t="n">
        <v>0.11988</v>
      </c>
      <c r="S56" s="21" t="n">
        <v>0.09</v>
      </c>
      <c r="T56" s="21" t="n">
        <v>0.222</v>
      </c>
      <c r="V56" s="6" t="s">
        <v>935</v>
      </c>
      <c r="W56" s="21" t="n">
        <v>0.16</v>
      </c>
    </row>
    <row r="57" customFormat="false" ht="23.85" hidden="false" customHeight="false" outlineLevel="0" collapsed="false">
      <c r="A57" s="21" t="n">
        <v>53</v>
      </c>
      <c r="B57" s="6" t="s">
        <v>223</v>
      </c>
      <c r="C57" s="21"/>
      <c r="D57" s="21" t="n">
        <v>12</v>
      </c>
      <c r="E57" s="6" t="s">
        <v>924</v>
      </c>
      <c r="G57" s="6" t="s">
        <v>936</v>
      </c>
      <c r="H57" s="21" t="n">
        <v>3</v>
      </c>
      <c r="I57" s="21"/>
      <c r="K57" s="6" t="s">
        <v>916</v>
      </c>
      <c r="L57" s="21" t="n">
        <v>0.22</v>
      </c>
      <c r="M57" s="21" t="n">
        <v>0.19</v>
      </c>
      <c r="N57" s="21" t="n">
        <v>0.15</v>
      </c>
      <c r="O57" s="21" t="n">
        <v>0.055</v>
      </c>
      <c r="Q57" s="6" t="s">
        <v>937</v>
      </c>
      <c r="R57" s="21" t="n">
        <v>0.1296</v>
      </c>
      <c r="S57" s="21" t="n">
        <v>0.09</v>
      </c>
      <c r="T57" s="21" t="n">
        <v>0.24</v>
      </c>
      <c r="V57" s="6" t="s">
        <v>938</v>
      </c>
      <c r="W57" s="21" t="n">
        <v>0.188</v>
      </c>
    </row>
    <row r="58" customFormat="false" ht="23.85" hidden="false" customHeight="false" outlineLevel="0" collapsed="false">
      <c r="A58" s="21" t="n">
        <v>54</v>
      </c>
      <c r="B58" s="6" t="s">
        <v>939</v>
      </c>
      <c r="C58" s="21"/>
      <c r="D58" s="21" t="n">
        <v>10.5</v>
      </c>
      <c r="E58" s="6" t="s">
        <v>924</v>
      </c>
      <c r="G58" s="6" t="s">
        <v>940</v>
      </c>
      <c r="H58" s="21" t="n">
        <v>5</v>
      </c>
      <c r="I58" s="21"/>
      <c r="Q58" s="6" t="s">
        <v>941</v>
      </c>
      <c r="R58" s="21" t="n">
        <v>0.13986</v>
      </c>
      <c r="S58" s="21" t="n">
        <v>0.09</v>
      </c>
      <c r="T58" s="21" t="n">
        <v>0.259</v>
      </c>
      <c r="V58" s="6" t="s">
        <v>942</v>
      </c>
      <c r="W58" s="21" t="n">
        <v>0.219</v>
      </c>
    </row>
    <row r="59" customFormat="false" ht="15" hidden="false" customHeight="false" outlineLevel="0" collapsed="false">
      <c r="A59" s="21" t="n">
        <v>55</v>
      </c>
      <c r="B59" s="6" t="s">
        <v>943</v>
      </c>
      <c r="C59" s="21"/>
      <c r="D59" s="21" t="n">
        <v>26</v>
      </c>
      <c r="E59" s="6" t="s">
        <v>924</v>
      </c>
      <c r="G59" s="6" t="s">
        <v>944</v>
      </c>
      <c r="H59" s="21" t="n">
        <v>5</v>
      </c>
      <c r="I59" s="21"/>
      <c r="Q59" s="6" t="s">
        <v>945</v>
      </c>
      <c r="R59" s="21" t="n">
        <v>0.14958</v>
      </c>
      <c r="S59" s="21" t="n">
        <v>0.09</v>
      </c>
      <c r="T59" s="21" t="n">
        <v>0.277</v>
      </c>
      <c r="V59" s="6" t="s">
        <v>946</v>
      </c>
      <c r="W59" s="21" t="n">
        <v>0.252</v>
      </c>
    </row>
    <row r="60" customFormat="false" ht="19.5" hidden="false" customHeight="true" outlineLevel="0" collapsed="false">
      <c r="A60" s="21" t="n">
        <v>56</v>
      </c>
      <c r="B60" s="6" t="s">
        <v>947</v>
      </c>
      <c r="C60" s="21"/>
      <c r="D60" s="21" t="n">
        <v>12</v>
      </c>
      <c r="E60" s="6" t="s">
        <v>924</v>
      </c>
      <c r="G60" s="6" t="s">
        <v>948</v>
      </c>
      <c r="H60" s="21" t="n">
        <v>5</v>
      </c>
      <c r="I60" s="21"/>
      <c r="K60" s="3" t="s">
        <v>949</v>
      </c>
      <c r="L60" s="3"/>
      <c r="M60" s="3"/>
      <c r="Q60" s="6" t="s">
        <v>950</v>
      </c>
      <c r="R60" s="21" t="n">
        <v>0.15984</v>
      </c>
      <c r="S60" s="21" t="n">
        <v>0.09</v>
      </c>
      <c r="T60" s="21" t="n">
        <v>0.296</v>
      </c>
      <c r="V60" s="6" t="s">
        <v>951</v>
      </c>
      <c r="W60" s="21" t="n">
        <v>0.293</v>
      </c>
    </row>
    <row r="61" customFormat="false" ht="21.75" hidden="false" customHeight="true" outlineLevel="0" collapsed="false">
      <c r="A61" s="21" t="n">
        <v>57</v>
      </c>
      <c r="B61" s="6" t="s">
        <v>952</v>
      </c>
      <c r="C61" s="21"/>
      <c r="D61" s="21" t="n">
        <v>26</v>
      </c>
      <c r="E61" s="6" t="s">
        <v>924</v>
      </c>
      <c r="G61" s="6" t="s">
        <v>953</v>
      </c>
      <c r="H61" s="21" t="n">
        <v>7</v>
      </c>
      <c r="I61" s="21"/>
      <c r="K61" s="11" t="s">
        <v>292</v>
      </c>
      <c r="L61" s="11" t="s">
        <v>299</v>
      </c>
      <c r="M61" s="11"/>
      <c r="Q61" s="6" t="s">
        <v>954</v>
      </c>
      <c r="R61" s="21" t="n">
        <v>0.16956</v>
      </c>
      <c r="S61" s="21" t="n">
        <v>0.09</v>
      </c>
      <c r="T61" s="21" t="n">
        <v>0.314</v>
      </c>
      <c r="V61" s="6" t="s">
        <v>955</v>
      </c>
      <c r="W61" s="21" t="n">
        <v>0.331</v>
      </c>
    </row>
    <row r="62" customFormat="false" ht="15" hidden="false" customHeight="false" outlineLevel="0" collapsed="false">
      <c r="A62" s="21" t="n">
        <v>58</v>
      </c>
      <c r="B62" s="6" t="s">
        <v>956</v>
      </c>
      <c r="C62" s="21"/>
      <c r="D62" s="21" t="n">
        <v>26</v>
      </c>
      <c r="E62" s="6" t="s">
        <v>924</v>
      </c>
      <c r="G62" s="6" t="s">
        <v>957</v>
      </c>
      <c r="H62" s="21" t="n">
        <v>5</v>
      </c>
      <c r="I62" s="21"/>
      <c r="K62" s="21" t="s">
        <v>958</v>
      </c>
      <c r="L62" s="21" t="n">
        <v>5.61</v>
      </c>
      <c r="Q62" s="6" t="s">
        <v>959</v>
      </c>
      <c r="R62" s="21" t="n">
        <v>0.17982</v>
      </c>
      <c r="S62" s="21" t="n">
        <v>0.09</v>
      </c>
      <c r="T62" s="21" t="n">
        <v>0.333</v>
      </c>
      <c r="V62" s="6" t="s">
        <v>960</v>
      </c>
      <c r="W62" s="21" t="n">
        <v>0.378</v>
      </c>
    </row>
    <row r="63" customFormat="false" ht="15" hidden="false" customHeight="false" outlineLevel="0" collapsed="false">
      <c r="A63" s="21" t="n">
        <v>59</v>
      </c>
      <c r="B63" s="6" t="s">
        <v>961</v>
      </c>
      <c r="C63" s="21"/>
      <c r="D63" s="21" t="n">
        <v>15</v>
      </c>
      <c r="E63" s="6" t="s">
        <v>924</v>
      </c>
      <c r="G63" s="6" t="s">
        <v>962</v>
      </c>
      <c r="H63" s="21" t="n">
        <v>5</v>
      </c>
      <c r="I63" s="21"/>
      <c r="K63" s="21" t="s">
        <v>963</v>
      </c>
      <c r="L63" s="21" t="n">
        <v>8.03</v>
      </c>
      <c r="Q63" s="6" t="s">
        <v>964</v>
      </c>
      <c r="R63" s="21" t="n">
        <v>0.18954</v>
      </c>
      <c r="S63" s="21" t="n">
        <v>0.09</v>
      </c>
      <c r="T63" s="21" t="n">
        <v>0.351</v>
      </c>
      <c r="V63" s="6" t="s">
        <v>965</v>
      </c>
      <c r="W63" s="21" t="n">
        <v>0.418</v>
      </c>
    </row>
    <row r="64" customFormat="false" ht="23.85" hidden="false" customHeight="false" outlineLevel="0" collapsed="false">
      <c r="A64" s="21" t="n">
        <v>60</v>
      </c>
      <c r="B64" s="6" t="s">
        <v>966</v>
      </c>
      <c r="C64" s="21"/>
      <c r="D64" s="21" t="n">
        <v>12.5</v>
      </c>
      <c r="E64" s="6" t="s">
        <v>924</v>
      </c>
      <c r="G64" s="6" t="s">
        <v>967</v>
      </c>
      <c r="H64" s="21" t="n">
        <v>5</v>
      </c>
      <c r="I64" s="21"/>
      <c r="K64" s="21" t="s">
        <v>303</v>
      </c>
      <c r="L64" s="21" t="n">
        <v>10.89</v>
      </c>
      <c r="Q64" s="6" t="s">
        <v>968</v>
      </c>
      <c r="R64" s="21" t="n">
        <v>0.1998</v>
      </c>
      <c r="S64" s="21" t="n">
        <v>0.09</v>
      </c>
      <c r="T64" s="21" t="n">
        <v>0.37</v>
      </c>
      <c r="V64" s="6" t="s">
        <v>969</v>
      </c>
      <c r="W64" s="21" t="n">
        <v>0.461</v>
      </c>
    </row>
    <row r="65" customFormat="false" ht="23.85" hidden="false" customHeight="false" outlineLevel="0" collapsed="false">
      <c r="A65" s="21" t="n">
        <v>61</v>
      </c>
      <c r="B65" s="6" t="s">
        <v>970</v>
      </c>
      <c r="C65" s="21"/>
      <c r="D65" s="21" t="n">
        <v>16</v>
      </c>
      <c r="E65" s="6" t="s">
        <v>924</v>
      </c>
      <c r="G65" s="6" t="s">
        <v>971</v>
      </c>
      <c r="H65" s="21" t="n">
        <v>2</v>
      </c>
      <c r="I65" s="21"/>
      <c r="K65" s="21" t="s">
        <v>301</v>
      </c>
      <c r="L65" s="21" t="n">
        <v>11.92</v>
      </c>
      <c r="Q65" s="6" t="s">
        <v>972</v>
      </c>
      <c r="R65" s="21" t="n">
        <v>0.07245</v>
      </c>
      <c r="S65" s="21" t="n">
        <v>0.115</v>
      </c>
      <c r="T65" s="21" t="n">
        <v>0.105</v>
      </c>
      <c r="V65" s="6" t="s">
        <v>973</v>
      </c>
      <c r="W65" s="21" t="n">
        <v>0.594</v>
      </c>
    </row>
    <row r="66" customFormat="false" ht="23.85" hidden="false" customHeight="false" outlineLevel="0" collapsed="false">
      <c r="A66" s="21" t="n">
        <v>62</v>
      </c>
      <c r="B66" s="6" t="s">
        <v>974</v>
      </c>
      <c r="C66" s="21"/>
      <c r="D66" s="21" t="n">
        <v>10</v>
      </c>
      <c r="E66" s="6" t="s">
        <v>924</v>
      </c>
      <c r="G66" s="6" t="s">
        <v>975</v>
      </c>
      <c r="H66" s="21" t="n">
        <v>2.5</v>
      </c>
      <c r="I66" s="21" t="n">
        <v>9</v>
      </c>
      <c r="K66" s="21" t="s">
        <v>976</v>
      </c>
      <c r="L66" s="21" t="n">
        <v>13.62</v>
      </c>
      <c r="Q66" s="6" t="s">
        <v>977</v>
      </c>
      <c r="R66" s="21" t="n">
        <v>0.08694</v>
      </c>
      <c r="S66" s="21" t="n">
        <v>0.115</v>
      </c>
      <c r="T66" s="21" t="n">
        <v>0.126</v>
      </c>
      <c r="V66" s="6" t="s">
        <v>978</v>
      </c>
      <c r="W66" s="21" t="n">
        <v>0.606</v>
      </c>
    </row>
    <row r="67" customFormat="false" ht="23.85" hidden="false" customHeight="false" outlineLevel="0" collapsed="false">
      <c r="A67" s="21" t="n">
        <v>63</v>
      </c>
      <c r="B67" s="6" t="s">
        <v>979</v>
      </c>
      <c r="C67" s="21"/>
      <c r="D67" s="21" t="n">
        <v>8</v>
      </c>
      <c r="E67" s="6" t="s">
        <v>924</v>
      </c>
      <c r="G67" s="6" t="s">
        <v>980</v>
      </c>
      <c r="H67" s="21" t="n">
        <v>5</v>
      </c>
      <c r="I67" s="21" t="n">
        <v>9</v>
      </c>
      <c r="K67" s="21" t="s">
        <v>981</v>
      </c>
      <c r="L67" s="21" t="n">
        <v>16.05</v>
      </c>
      <c r="Q67" s="6" t="s">
        <v>982</v>
      </c>
      <c r="R67" s="21" t="n">
        <v>0.10143</v>
      </c>
      <c r="S67" s="21" t="n">
        <v>0.115</v>
      </c>
      <c r="T67" s="21" t="n">
        <v>0.147</v>
      </c>
      <c r="V67" s="6" t="s">
        <v>983</v>
      </c>
      <c r="W67" s="21" t="n">
        <v>0.63</v>
      </c>
    </row>
    <row r="68" customFormat="false" ht="15" hidden="false" customHeight="false" outlineLevel="0" collapsed="false">
      <c r="A68" s="21" t="n">
        <v>64</v>
      </c>
      <c r="B68" s="6" t="s">
        <v>984</v>
      </c>
      <c r="C68" s="21"/>
      <c r="D68" s="21" t="n">
        <v>17</v>
      </c>
      <c r="E68" s="6" t="s">
        <v>985</v>
      </c>
      <c r="G68" s="6" t="s">
        <v>986</v>
      </c>
      <c r="H68" s="21" t="n">
        <v>5</v>
      </c>
      <c r="I68" s="21"/>
      <c r="K68" s="21" t="s">
        <v>987</v>
      </c>
      <c r="L68" s="21" t="n">
        <v>18.59</v>
      </c>
      <c r="Q68" s="6" t="s">
        <v>988</v>
      </c>
      <c r="R68" s="21" t="n">
        <v>0.11592</v>
      </c>
      <c r="S68" s="21" t="n">
        <v>0.115</v>
      </c>
      <c r="T68" s="21" t="n">
        <v>0.168</v>
      </c>
      <c r="V68" s="6" t="s">
        <v>989</v>
      </c>
      <c r="W68" s="21" t="n">
        <v>0.717</v>
      </c>
    </row>
    <row r="69" customFormat="false" ht="15" hidden="false" customHeight="false" outlineLevel="0" collapsed="false">
      <c r="A69" s="21" t="n">
        <v>65</v>
      </c>
      <c r="B69" s="6" t="s">
        <v>990</v>
      </c>
      <c r="C69" s="21"/>
      <c r="D69" s="21" t="n">
        <v>16</v>
      </c>
      <c r="E69" s="6" t="s">
        <v>985</v>
      </c>
      <c r="G69" s="6" t="s">
        <v>991</v>
      </c>
      <c r="H69" s="21" t="n">
        <v>2</v>
      </c>
      <c r="I69" s="21"/>
      <c r="K69" s="21" t="s">
        <v>992</v>
      </c>
      <c r="L69" s="21" t="n">
        <v>20.01</v>
      </c>
      <c r="Q69" s="6" t="s">
        <v>993</v>
      </c>
      <c r="R69" s="21" t="n">
        <v>0.13041</v>
      </c>
      <c r="S69" s="21" t="n">
        <v>0.115</v>
      </c>
      <c r="T69" s="21" t="n">
        <v>0.189</v>
      </c>
      <c r="V69" s="6" t="s">
        <v>994</v>
      </c>
      <c r="W69" s="21" t="n">
        <v>0.02254</v>
      </c>
    </row>
    <row r="70" customFormat="false" ht="23.85" hidden="false" customHeight="false" outlineLevel="0" collapsed="false">
      <c r="A70" s="21" t="n">
        <v>66</v>
      </c>
      <c r="B70" s="6" t="s">
        <v>180</v>
      </c>
      <c r="C70" s="21"/>
      <c r="D70" s="21" t="n">
        <v>21</v>
      </c>
      <c r="E70" s="6" t="s">
        <v>985</v>
      </c>
      <c r="G70" s="6" t="s">
        <v>995</v>
      </c>
      <c r="H70" s="21" t="n">
        <v>2</v>
      </c>
      <c r="I70" s="21"/>
      <c r="K70" s="21" t="s">
        <v>996</v>
      </c>
      <c r="L70" s="21" t="n">
        <v>23.49</v>
      </c>
      <c r="Q70" s="6" t="s">
        <v>997</v>
      </c>
      <c r="R70" s="21" t="n">
        <v>0.1449</v>
      </c>
      <c r="S70" s="21" t="n">
        <v>0.115</v>
      </c>
      <c r="T70" s="21" t="n">
        <v>0.21</v>
      </c>
      <c r="V70" s="6" t="s">
        <v>998</v>
      </c>
      <c r="W70" s="21" t="n">
        <v>0.02776</v>
      </c>
    </row>
    <row r="71" customFormat="false" ht="35.05" hidden="false" customHeight="false" outlineLevel="0" collapsed="false">
      <c r="A71" s="21" t="n">
        <v>67</v>
      </c>
      <c r="B71" s="6" t="s">
        <v>999</v>
      </c>
      <c r="C71" s="21"/>
      <c r="D71" s="21" t="n">
        <v>19</v>
      </c>
      <c r="E71" s="6" t="s">
        <v>985</v>
      </c>
      <c r="G71" s="6" t="s">
        <v>1000</v>
      </c>
      <c r="H71" s="21" t="n">
        <v>2</v>
      </c>
      <c r="I71" s="21"/>
      <c r="K71" s="21" t="s">
        <v>1001</v>
      </c>
      <c r="L71" s="21" t="n">
        <v>26.03</v>
      </c>
      <c r="Q71" s="6" t="s">
        <v>1002</v>
      </c>
      <c r="R71" s="21" t="n">
        <v>0.15939</v>
      </c>
      <c r="S71" s="21" t="n">
        <v>0.115</v>
      </c>
      <c r="T71" s="21" t="n">
        <v>0.231</v>
      </c>
      <c r="V71" s="6" t="s">
        <v>1003</v>
      </c>
      <c r="W71" s="21" t="n">
        <v>0.03404</v>
      </c>
    </row>
    <row r="72" customFormat="false" ht="23.85" hidden="false" customHeight="false" outlineLevel="0" collapsed="false">
      <c r="A72" s="21" t="n">
        <v>68</v>
      </c>
      <c r="B72" s="6" t="s">
        <v>1004</v>
      </c>
      <c r="C72" s="21"/>
      <c r="D72" s="21" t="n">
        <v>22</v>
      </c>
      <c r="E72" s="6" t="s">
        <v>985</v>
      </c>
      <c r="G72" s="6" t="s">
        <v>197</v>
      </c>
      <c r="H72" s="21" t="n">
        <v>2</v>
      </c>
      <c r="I72" s="21"/>
      <c r="Q72" s="6" t="s">
        <v>1005</v>
      </c>
      <c r="R72" s="21" t="n">
        <v>0.17388</v>
      </c>
      <c r="S72" s="21" t="n">
        <v>0.115</v>
      </c>
      <c r="T72" s="21" t="n">
        <v>0.252</v>
      </c>
      <c r="V72" s="6" t="s">
        <v>1006</v>
      </c>
      <c r="W72" s="21" t="n">
        <v>0.03718</v>
      </c>
    </row>
    <row r="73" customFormat="false" ht="23.85" hidden="false" customHeight="false" outlineLevel="0" collapsed="false">
      <c r="A73" s="21" t="n">
        <v>69</v>
      </c>
      <c r="B73" s="6" t="s">
        <v>1007</v>
      </c>
      <c r="C73" s="21"/>
      <c r="D73" s="21" t="n">
        <v>17</v>
      </c>
      <c r="E73" s="6" t="s">
        <v>985</v>
      </c>
      <c r="G73" s="6" t="s">
        <v>1008</v>
      </c>
      <c r="H73" s="21" t="n">
        <v>2</v>
      </c>
      <c r="I73" s="21"/>
      <c r="Q73" s="6" t="s">
        <v>1009</v>
      </c>
      <c r="R73" s="21" t="n">
        <v>0.18837</v>
      </c>
      <c r="S73" s="21" t="n">
        <v>0.115</v>
      </c>
      <c r="T73" s="21" t="n">
        <v>0.273</v>
      </c>
      <c r="V73" s="6" t="s">
        <v>1010</v>
      </c>
      <c r="W73" s="21" t="n">
        <v>0.04503</v>
      </c>
    </row>
    <row r="74" customFormat="false" ht="35.05" hidden="false" customHeight="false" outlineLevel="0" collapsed="false">
      <c r="A74" s="21" t="n">
        <v>70</v>
      </c>
      <c r="B74" s="6" t="s">
        <v>1011</v>
      </c>
      <c r="C74" s="21"/>
      <c r="D74" s="21" t="n">
        <v>19</v>
      </c>
      <c r="E74" s="6" t="s">
        <v>985</v>
      </c>
      <c r="G74" s="6" t="s">
        <v>1012</v>
      </c>
      <c r="H74" s="21" t="n">
        <v>2</v>
      </c>
      <c r="I74" s="21"/>
      <c r="Q74" s="6" t="s">
        <v>1013</v>
      </c>
      <c r="R74" s="21" t="n">
        <v>0.20286</v>
      </c>
      <c r="S74" s="21" t="n">
        <v>0.115</v>
      </c>
      <c r="T74" s="21" t="n">
        <v>0.294</v>
      </c>
      <c r="V74" s="6" t="s">
        <v>1014</v>
      </c>
      <c r="W74" s="21" t="n">
        <v>0.05565</v>
      </c>
    </row>
    <row r="75" customFormat="false" ht="35.05" hidden="false" customHeight="false" outlineLevel="0" collapsed="false">
      <c r="A75" s="21" t="n">
        <v>71</v>
      </c>
      <c r="B75" s="6" t="s">
        <v>1015</v>
      </c>
      <c r="C75" s="21"/>
      <c r="D75" s="21" t="n">
        <v>19</v>
      </c>
      <c r="E75" s="6" t="s">
        <v>985</v>
      </c>
      <c r="G75" s="6" t="s">
        <v>1016</v>
      </c>
      <c r="H75" s="21" t="n">
        <v>5</v>
      </c>
      <c r="I75" s="21"/>
      <c r="Q75" s="6" t="s">
        <v>1017</v>
      </c>
      <c r="R75" s="21" t="n">
        <v>0.21735</v>
      </c>
      <c r="S75" s="21" t="n">
        <v>0.115</v>
      </c>
      <c r="T75" s="21" t="n">
        <v>0.315</v>
      </c>
      <c r="V75" s="6" t="s">
        <v>1018</v>
      </c>
      <c r="W75" s="21" t="n">
        <v>0.04817</v>
      </c>
    </row>
    <row r="76" customFormat="false" ht="15" hidden="false" customHeight="false" outlineLevel="0" collapsed="false">
      <c r="A76" s="21" t="n">
        <v>72</v>
      </c>
      <c r="B76" s="6" t="s">
        <v>1019</v>
      </c>
      <c r="C76" s="21"/>
      <c r="D76" s="21" t="n">
        <v>17</v>
      </c>
      <c r="E76" s="6" t="s">
        <v>985</v>
      </c>
      <c r="G76" s="6" t="s">
        <v>1020</v>
      </c>
      <c r="H76" s="21" t="n">
        <v>12</v>
      </c>
      <c r="I76" s="21" t="n">
        <v>36</v>
      </c>
      <c r="Q76" s="6" t="s">
        <v>1021</v>
      </c>
      <c r="R76" s="21" t="n">
        <v>0.23184</v>
      </c>
      <c r="S76" s="21" t="n">
        <v>0.115</v>
      </c>
      <c r="T76" s="21" t="n">
        <v>0.336</v>
      </c>
      <c r="V76" s="6" t="s">
        <v>1022</v>
      </c>
      <c r="W76" s="21" t="n">
        <v>0.05957</v>
      </c>
    </row>
    <row r="77" customFormat="false" ht="15" hidden="false" customHeight="false" outlineLevel="0" collapsed="false">
      <c r="A77" s="21" t="n">
        <v>73</v>
      </c>
      <c r="B77" s="6" t="s">
        <v>1023</v>
      </c>
      <c r="C77" s="21"/>
      <c r="D77" s="21" t="n">
        <v>21</v>
      </c>
      <c r="E77" s="6" t="s">
        <v>985</v>
      </c>
      <c r="G77" s="6" t="s">
        <v>1024</v>
      </c>
      <c r="H77" s="21" t="n">
        <v>2.5</v>
      </c>
      <c r="I77" s="21"/>
      <c r="Q77" s="6" t="s">
        <v>1025</v>
      </c>
      <c r="R77" s="21" t="n">
        <v>0.24633</v>
      </c>
      <c r="S77" s="21" t="n">
        <v>0.115</v>
      </c>
      <c r="T77" s="21" t="n">
        <v>0.357</v>
      </c>
      <c r="V77" s="6" t="s">
        <v>1026</v>
      </c>
      <c r="W77" s="21" t="n">
        <v>0.05602</v>
      </c>
    </row>
    <row r="78" customFormat="false" ht="15" hidden="false" customHeight="false" outlineLevel="0" collapsed="false">
      <c r="A78" s="21" t="n">
        <v>74</v>
      </c>
      <c r="B78" s="6" t="s">
        <v>1027</v>
      </c>
      <c r="C78" s="21"/>
      <c r="D78" s="21" t="n">
        <v>13</v>
      </c>
      <c r="E78" s="6" t="s">
        <v>985</v>
      </c>
      <c r="Q78" s="6" t="s">
        <v>1028</v>
      </c>
      <c r="R78" s="21" t="n">
        <v>0.26082</v>
      </c>
      <c r="S78" s="21" t="n">
        <v>0.115</v>
      </c>
      <c r="T78" s="21" t="n">
        <v>0.378</v>
      </c>
      <c r="V78" s="6" t="s">
        <v>1029</v>
      </c>
      <c r="W78" s="21" t="n">
        <v>0.06938</v>
      </c>
    </row>
    <row r="79" customFormat="false" ht="15" hidden="false" customHeight="false" outlineLevel="0" collapsed="false">
      <c r="A79" s="21" t="n">
        <v>75</v>
      </c>
      <c r="B79" s="6" t="s">
        <v>1030</v>
      </c>
      <c r="C79" s="21" t="n">
        <v>0.48</v>
      </c>
      <c r="D79" s="21"/>
      <c r="E79" s="6" t="s">
        <v>1031</v>
      </c>
      <c r="Q79" s="6" t="s">
        <v>1032</v>
      </c>
      <c r="R79" s="21" t="n">
        <v>0.27531</v>
      </c>
      <c r="S79" s="21" t="n">
        <v>0.115</v>
      </c>
      <c r="T79" s="21" t="n">
        <v>0.399</v>
      </c>
      <c r="V79" s="6" t="s">
        <v>1033</v>
      </c>
      <c r="W79" s="21" t="n">
        <v>0.08765</v>
      </c>
    </row>
    <row r="80" customFormat="false" ht="15" hidden="false" customHeight="false" outlineLevel="0" collapsed="false">
      <c r="A80" s="21" t="n">
        <v>76</v>
      </c>
      <c r="B80" s="6" t="s">
        <v>1034</v>
      </c>
      <c r="C80" s="21" t="n">
        <v>0.77</v>
      </c>
      <c r="D80" s="21"/>
      <c r="E80" s="6" t="s">
        <v>1031</v>
      </c>
      <c r="Q80" s="6" t="s">
        <v>1035</v>
      </c>
      <c r="R80" s="21" t="n">
        <v>0.10584</v>
      </c>
      <c r="S80" s="21" t="n">
        <v>0.14</v>
      </c>
      <c r="T80" s="21" t="n">
        <v>0.126</v>
      </c>
      <c r="V80" s="6" t="s">
        <v>1036</v>
      </c>
      <c r="W80" s="21" t="n">
        <v>0.05916</v>
      </c>
    </row>
    <row r="81" customFormat="false" ht="15" hidden="false" customHeight="false" outlineLevel="0" collapsed="false">
      <c r="A81" s="21" t="n">
        <v>77</v>
      </c>
      <c r="B81" s="6" t="s">
        <v>188</v>
      </c>
      <c r="C81" s="21" t="n">
        <v>0.28</v>
      </c>
      <c r="D81" s="21" t="n">
        <v>23</v>
      </c>
      <c r="E81" s="6" t="s">
        <v>1031</v>
      </c>
      <c r="Q81" s="6" t="s">
        <v>1037</v>
      </c>
      <c r="R81" s="21" t="n">
        <v>0.12348</v>
      </c>
      <c r="S81" s="21" t="n">
        <v>0.14</v>
      </c>
      <c r="T81" s="21" t="n">
        <v>0.147</v>
      </c>
      <c r="V81" s="6" t="s">
        <v>1038</v>
      </c>
      <c r="W81" s="21" t="n">
        <v>0.07331</v>
      </c>
    </row>
    <row r="82" customFormat="false" ht="15" hidden="false" customHeight="false" outlineLevel="0" collapsed="false">
      <c r="A82" s="21" t="n">
        <v>78</v>
      </c>
      <c r="B82" s="6" t="s">
        <v>1039</v>
      </c>
      <c r="C82" s="21" t="n">
        <v>0.38</v>
      </c>
      <c r="D82" s="21"/>
      <c r="E82" s="6" t="s">
        <v>1031</v>
      </c>
      <c r="Q82" s="6" t="s">
        <v>1040</v>
      </c>
      <c r="R82" s="21" t="n">
        <v>0.14112</v>
      </c>
      <c r="S82" s="21" t="n">
        <v>0.14</v>
      </c>
      <c r="T82" s="21" t="n">
        <v>0.168</v>
      </c>
      <c r="V82" s="6" t="s">
        <v>1041</v>
      </c>
      <c r="W82" s="21" t="n">
        <v>0.09268</v>
      </c>
    </row>
    <row r="83" customFormat="false" ht="15" hidden="false" customHeight="false" outlineLevel="0" collapsed="false">
      <c r="A83" s="21" t="n">
        <v>79</v>
      </c>
      <c r="B83" s="6" t="s">
        <v>1042</v>
      </c>
      <c r="C83" s="21" t="n">
        <v>0.45</v>
      </c>
      <c r="D83" s="21"/>
      <c r="E83" s="6" t="s">
        <v>1031</v>
      </c>
      <c r="Q83" s="6" t="s">
        <v>1043</v>
      </c>
      <c r="R83" s="21" t="n">
        <v>0.15876</v>
      </c>
      <c r="S83" s="21" t="n">
        <v>0.14</v>
      </c>
      <c r="T83" s="21" t="n">
        <v>0.189</v>
      </c>
      <c r="V83" s="6" t="s">
        <v>1044</v>
      </c>
      <c r="W83" s="21" t="n">
        <v>0.00204414</v>
      </c>
    </row>
    <row r="84" customFormat="false" ht="15" hidden="false" customHeight="false" outlineLevel="0" collapsed="false">
      <c r="A84" s="21" t="n">
        <v>80</v>
      </c>
      <c r="B84" s="6" t="s">
        <v>1045</v>
      </c>
      <c r="C84" s="21" t="n">
        <v>0.07</v>
      </c>
      <c r="D84" s="21"/>
      <c r="E84" s="6" t="s">
        <v>1031</v>
      </c>
      <c r="Q84" s="6" t="s">
        <v>1046</v>
      </c>
      <c r="R84" s="21" t="n">
        <v>0.1764</v>
      </c>
      <c r="S84" s="21" t="n">
        <v>0.14</v>
      </c>
      <c r="T84" s="21" t="n">
        <v>0.21</v>
      </c>
      <c r="V84" s="6" t="s">
        <v>1047</v>
      </c>
      <c r="W84" s="21" t="n">
        <v>0.00231104</v>
      </c>
    </row>
    <row r="85" customFormat="false" ht="15" hidden="false" customHeight="false" outlineLevel="0" collapsed="false">
      <c r="A85" s="21" t="n">
        <v>81</v>
      </c>
      <c r="B85" s="6" t="s">
        <v>1048</v>
      </c>
      <c r="C85" s="21"/>
      <c r="D85" s="21" t="n">
        <v>22</v>
      </c>
      <c r="E85" s="6" t="s">
        <v>1031</v>
      </c>
      <c r="Q85" s="6" t="s">
        <v>1049</v>
      </c>
      <c r="R85" s="21" t="n">
        <v>0.19404</v>
      </c>
      <c r="S85" s="21" t="n">
        <v>0.14</v>
      </c>
      <c r="T85" s="21" t="n">
        <v>0.231</v>
      </c>
      <c r="V85" s="6" t="s">
        <v>1050</v>
      </c>
      <c r="W85" s="21" t="n">
        <v>0.00257166</v>
      </c>
    </row>
    <row r="86" customFormat="false" ht="15" hidden="false" customHeight="false" outlineLevel="0" collapsed="false">
      <c r="A86" s="21" t="n">
        <v>82</v>
      </c>
      <c r="B86" s="6" t="s">
        <v>1051</v>
      </c>
      <c r="C86" s="21" t="n">
        <v>0.9</v>
      </c>
      <c r="D86" s="21"/>
      <c r="E86" s="6" t="s">
        <v>1031</v>
      </c>
      <c r="Q86" s="6" t="s">
        <v>1052</v>
      </c>
      <c r="R86" s="21" t="n">
        <v>0.21168</v>
      </c>
      <c r="S86" s="21" t="n">
        <v>0.14</v>
      </c>
      <c r="T86" s="21" t="n">
        <v>0.252</v>
      </c>
      <c r="V86" s="6" t="s">
        <v>1053</v>
      </c>
      <c r="W86" s="21" t="n">
        <v>0.00307406</v>
      </c>
    </row>
    <row r="87" customFormat="false" ht="15" hidden="false" customHeight="false" outlineLevel="0" collapsed="false">
      <c r="A87" s="21" t="n">
        <v>83</v>
      </c>
      <c r="B87" s="6" t="s">
        <v>1054</v>
      </c>
      <c r="C87" s="21" t="n">
        <v>0.05</v>
      </c>
      <c r="D87" s="21"/>
      <c r="E87" s="6" t="s">
        <v>1031</v>
      </c>
      <c r="Q87" s="6" t="s">
        <v>1055</v>
      </c>
      <c r="R87" s="21" t="n">
        <v>0.22932</v>
      </c>
      <c r="S87" s="21" t="n">
        <v>0.14</v>
      </c>
      <c r="T87" s="21" t="n">
        <v>0.273</v>
      </c>
      <c r="V87" s="6" t="s">
        <v>1056</v>
      </c>
      <c r="W87" s="21" t="n">
        <v>0.00331584</v>
      </c>
    </row>
    <row r="88" customFormat="false" ht="15" hidden="false" customHeight="false" outlineLevel="0" collapsed="false">
      <c r="A88" s="21" t="n">
        <v>84</v>
      </c>
      <c r="B88" s="6" t="s">
        <v>1057</v>
      </c>
      <c r="C88" s="21" t="n">
        <v>0.42</v>
      </c>
      <c r="D88" s="21"/>
      <c r="E88" s="6" t="s">
        <v>1031</v>
      </c>
      <c r="Q88" s="6" t="s">
        <v>1058</v>
      </c>
      <c r="R88" s="21" t="n">
        <v>0.24696</v>
      </c>
      <c r="S88" s="21" t="n">
        <v>0.14</v>
      </c>
      <c r="T88" s="21" t="n">
        <v>0.294</v>
      </c>
      <c r="V88" s="6" t="s">
        <v>1059</v>
      </c>
      <c r="W88" s="21" t="n">
        <v>0.04943616</v>
      </c>
    </row>
    <row r="89" customFormat="false" ht="15" hidden="false" customHeight="false" outlineLevel="0" collapsed="false">
      <c r="A89" s="21" t="n">
        <v>85</v>
      </c>
      <c r="B89" s="6" t="s">
        <v>1060</v>
      </c>
      <c r="C89" s="21" t="n">
        <v>0.6</v>
      </c>
      <c r="D89" s="21"/>
      <c r="E89" s="6" t="s">
        <v>1031</v>
      </c>
      <c r="Q89" s="6" t="s">
        <v>1061</v>
      </c>
      <c r="R89" s="21" t="n">
        <v>0.2646</v>
      </c>
      <c r="S89" s="21" t="n">
        <v>0.14</v>
      </c>
      <c r="T89" s="21" t="n">
        <v>0.315</v>
      </c>
      <c r="V89" s="6" t="s">
        <v>1062</v>
      </c>
      <c r="W89" s="21" t="n">
        <v>0.061544</v>
      </c>
    </row>
    <row r="90" customFormat="false" ht="15" hidden="false" customHeight="false" outlineLevel="0" collapsed="false">
      <c r="A90" s="21" t="n">
        <v>86</v>
      </c>
      <c r="B90" s="6" t="s">
        <v>1063</v>
      </c>
      <c r="C90" s="21" t="n">
        <v>0.15</v>
      </c>
      <c r="D90" s="21"/>
      <c r="E90" s="6" t="s">
        <v>1031</v>
      </c>
      <c r="Q90" s="6" t="s">
        <v>1064</v>
      </c>
      <c r="R90" s="21" t="n">
        <v>0.28224</v>
      </c>
      <c r="S90" s="21" t="n">
        <v>0.14</v>
      </c>
      <c r="T90" s="21" t="n">
        <v>0.336</v>
      </c>
      <c r="V90" s="6" t="s">
        <v>1065</v>
      </c>
      <c r="W90" s="21" t="n">
        <v>0.0765375</v>
      </c>
    </row>
    <row r="91" customFormat="false" ht="15" hidden="false" customHeight="false" outlineLevel="0" collapsed="false">
      <c r="A91" s="21" t="n">
        <v>87</v>
      </c>
      <c r="B91" s="6" t="s">
        <v>1066</v>
      </c>
      <c r="C91" s="21" t="n">
        <v>0.15</v>
      </c>
      <c r="D91" s="21"/>
      <c r="E91" s="6" t="s">
        <v>1031</v>
      </c>
      <c r="Q91" s="6" t="s">
        <v>1067</v>
      </c>
      <c r="R91" s="21" t="n">
        <v>0.29988</v>
      </c>
      <c r="S91" s="21" t="n">
        <v>0.14</v>
      </c>
      <c r="T91" s="21" t="n">
        <v>0.357</v>
      </c>
      <c r="V91" s="6" t="s">
        <v>1068</v>
      </c>
      <c r="W91" s="21" t="n">
        <v>0.0972646400000001</v>
      </c>
    </row>
    <row r="92" customFormat="false" ht="15" hidden="false" customHeight="false" outlineLevel="0" collapsed="false">
      <c r="A92" s="21" t="n">
        <v>88</v>
      </c>
      <c r="B92" s="6" t="s">
        <v>1069</v>
      </c>
      <c r="C92" s="21" t="n">
        <v>0.25</v>
      </c>
      <c r="D92" s="21"/>
      <c r="E92" s="6" t="s">
        <v>1031</v>
      </c>
      <c r="Q92" s="6" t="s">
        <v>1070</v>
      </c>
      <c r="R92" s="21" t="n">
        <v>0.31752</v>
      </c>
      <c r="S92" s="21" t="n">
        <v>0.14</v>
      </c>
      <c r="T92" s="21" t="n">
        <v>0.378</v>
      </c>
      <c r="V92" s="6" t="s">
        <v>1071</v>
      </c>
      <c r="W92" s="21" t="n">
        <v>0.186728735</v>
      </c>
    </row>
    <row r="93" customFormat="false" ht="15" hidden="false" customHeight="false" outlineLevel="0" collapsed="false">
      <c r="A93" s="21" t="n">
        <v>89</v>
      </c>
      <c r="B93" s="6" t="s">
        <v>1072</v>
      </c>
      <c r="C93" s="21" t="n">
        <v>0.2</v>
      </c>
      <c r="D93" s="21"/>
      <c r="E93" s="6" t="s">
        <v>1031</v>
      </c>
      <c r="Q93" s="6" t="s">
        <v>1073</v>
      </c>
      <c r="R93" s="21" t="n">
        <v>0.33516</v>
      </c>
      <c r="S93" s="21" t="n">
        <v>0.14</v>
      </c>
      <c r="T93" s="21" t="n">
        <v>0.399</v>
      </c>
      <c r="V93" s="6" t="s">
        <v>1074</v>
      </c>
      <c r="W93" s="21" t="n">
        <v>0.1654314024</v>
      </c>
    </row>
    <row r="94" customFormat="false" ht="15" hidden="false" customHeight="false" outlineLevel="0" collapsed="false">
      <c r="A94" s="21" t="n">
        <v>90</v>
      </c>
      <c r="B94" s="6" t="s">
        <v>1075</v>
      </c>
      <c r="C94" s="21" t="n">
        <v>0.4</v>
      </c>
      <c r="D94" s="21"/>
      <c r="E94" s="6" t="s">
        <v>1031</v>
      </c>
      <c r="Q94" s="6" t="s">
        <v>1076</v>
      </c>
      <c r="R94" s="21" t="n">
        <v>0.3528</v>
      </c>
      <c r="S94" s="21" t="n">
        <v>0.14</v>
      </c>
      <c r="T94" s="21" t="n">
        <v>0.42</v>
      </c>
      <c r="V94" s="6" t="s">
        <v>1077</v>
      </c>
      <c r="W94" s="21" t="n">
        <v>0.216637235</v>
      </c>
    </row>
    <row r="95" customFormat="false" ht="15" hidden="false" customHeight="false" outlineLevel="0" collapsed="false">
      <c r="A95" s="21" t="n">
        <v>91</v>
      </c>
      <c r="B95" s="6" t="s">
        <v>1078</v>
      </c>
      <c r="C95" s="21" t="n">
        <v>0.2</v>
      </c>
      <c r="D95" s="21"/>
      <c r="E95" s="6" t="s">
        <v>1031</v>
      </c>
      <c r="Q95" s="6" t="s">
        <v>1079</v>
      </c>
      <c r="R95" s="21" t="n">
        <v>0.14553</v>
      </c>
      <c r="S95" s="21" t="n">
        <v>0.165</v>
      </c>
      <c r="T95" s="21" t="n">
        <v>0.147</v>
      </c>
      <c r="V95" s="6" t="s">
        <v>1080</v>
      </c>
      <c r="W95" s="21" t="n">
        <v>0.00259364</v>
      </c>
    </row>
    <row r="96" customFormat="false" ht="15" hidden="false" customHeight="false" outlineLevel="0" collapsed="false">
      <c r="A96" s="21" t="n">
        <v>92</v>
      </c>
      <c r="B96" s="6" t="s">
        <v>1081</v>
      </c>
      <c r="C96" s="21" t="n">
        <v>0.47</v>
      </c>
      <c r="D96" s="21"/>
      <c r="E96" s="6" t="s">
        <v>1031</v>
      </c>
      <c r="Q96" s="6" t="s">
        <v>1082</v>
      </c>
      <c r="R96" s="21" t="n">
        <v>0.16632</v>
      </c>
      <c r="S96" s="21" t="n">
        <v>0.165</v>
      </c>
      <c r="T96" s="21" t="n">
        <v>0.168</v>
      </c>
      <c r="V96" s="6" t="s">
        <v>1083</v>
      </c>
      <c r="W96" s="21" t="n">
        <v>0.00293904</v>
      </c>
    </row>
    <row r="97" customFormat="false" ht="15" hidden="false" customHeight="false" outlineLevel="0" collapsed="false">
      <c r="A97" s="21" t="n">
        <v>93</v>
      </c>
      <c r="B97" s="6" t="s">
        <v>1084</v>
      </c>
      <c r="C97" s="21" t="n">
        <v>0.63</v>
      </c>
      <c r="D97" s="21"/>
      <c r="E97" s="6" t="s">
        <v>1031</v>
      </c>
      <c r="Q97" s="6" t="s">
        <v>1085</v>
      </c>
      <c r="R97" s="21" t="n">
        <v>0.187209</v>
      </c>
      <c r="S97" s="21" t="n">
        <v>0.165</v>
      </c>
      <c r="T97" s="21" t="n">
        <v>0.1891</v>
      </c>
      <c r="V97" s="6" t="s">
        <v>1086</v>
      </c>
      <c r="W97" s="21" t="n">
        <v>0.00327816</v>
      </c>
    </row>
    <row r="98" customFormat="false" ht="15" hidden="false" customHeight="false" outlineLevel="0" collapsed="false">
      <c r="A98" s="21" t="n">
        <v>94</v>
      </c>
      <c r="B98" s="6" t="s">
        <v>1087</v>
      </c>
      <c r="C98" s="21" t="n">
        <v>0.78</v>
      </c>
      <c r="D98" s="21"/>
      <c r="E98" s="6" t="s">
        <v>1031</v>
      </c>
      <c r="Q98" s="6" t="s">
        <v>1088</v>
      </c>
      <c r="R98" s="21" t="n">
        <v>0.2079</v>
      </c>
      <c r="S98" s="21" t="n">
        <v>0.165</v>
      </c>
      <c r="T98" s="21" t="n">
        <v>0.21</v>
      </c>
      <c r="V98" s="6" t="s">
        <v>1089</v>
      </c>
      <c r="W98" s="21" t="n">
        <v>0.00393756</v>
      </c>
    </row>
    <row r="99" customFormat="false" ht="15" hidden="false" customHeight="false" outlineLevel="0" collapsed="false">
      <c r="A99" s="21" t="n">
        <v>95</v>
      </c>
      <c r="B99" s="6" t="s">
        <v>1090</v>
      </c>
      <c r="C99" s="21"/>
      <c r="D99" s="21" t="n">
        <v>16</v>
      </c>
      <c r="E99" s="6" t="s">
        <v>1031</v>
      </c>
      <c r="Q99" s="6" t="s">
        <v>1091</v>
      </c>
      <c r="R99" s="21" t="n">
        <v>0.22869</v>
      </c>
      <c r="S99" s="21" t="n">
        <v>0.165</v>
      </c>
      <c r="T99" s="21" t="n">
        <v>0.231</v>
      </c>
      <c r="V99" s="6" t="s">
        <v>1092</v>
      </c>
      <c r="W99" s="21" t="n">
        <v>0.00425784</v>
      </c>
    </row>
    <row r="100" customFormat="false" ht="15" hidden="false" customHeight="false" outlineLevel="0" collapsed="false">
      <c r="A100" s="21" t="n">
        <v>96</v>
      </c>
      <c r="B100" s="6" t="s">
        <v>179</v>
      </c>
      <c r="C100" s="21"/>
      <c r="D100" s="21" t="n">
        <v>18</v>
      </c>
      <c r="E100" s="6" t="s">
        <v>1031</v>
      </c>
      <c r="Q100" s="6" t="s">
        <v>1093</v>
      </c>
      <c r="R100" s="21" t="n">
        <v>0.24948</v>
      </c>
      <c r="S100" s="21" t="n">
        <v>0.165</v>
      </c>
      <c r="T100" s="21" t="n">
        <v>0.252</v>
      </c>
      <c r="V100" s="6" t="s">
        <v>1094</v>
      </c>
      <c r="W100" s="21" t="n">
        <v>0.00547616</v>
      </c>
    </row>
    <row r="101" customFormat="false" ht="15" hidden="false" customHeight="false" outlineLevel="0" collapsed="false">
      <c r="A101" s="21" t="n">
        <v>97</v>
      </c>
      <c r="B101" s="6" t="s">
        <v>1095</v>
      </c>
      <c r="C101" s="21"/>
      <c r="D101" s="21" t="n">
        <v>17</v>
      </c>
      <c r="E101" s="6" t="s">
        <v>1031</v>
      </c>
      <c r="Q101" s="6" t="s">
        <v>1096</v>
      </c>
      <c r="R101" s="21" t="n">
        <v>0.27027</v>
      </c>
      <c r="S101" s="21" t="n">
        <v>0.165</v>
      </c>
      <c r="T101" s="21" t="n">
        <v>0.273</v>
      </c>
      <c r="V101" s="6" t="s">
        <v>1097</v>
      </c>
      <c r="W101" s="21" t="n">
        <v>0.006594</v>
      </c>
    </row>
    <row r="102" customFormat="false" ht="15" hidden="false" customHeight="false" outlineLevel="0" collapsed="false">
      <c r="A102" s="21" t="n">
        <v>98</v>
      </c>
      <c r="B102" s="6" t="s">
        <v>1098</v>
      </c>
      <c r="C102" s="21" t="n">
        <v>0.35</v>
      </c>
      <c r="D102" s="21"/>
      <c r="E102" s="6" t="s">
        <v>1099</v>
      </c>
      <c r="Q102" s="6" t="s">
        <v>1100</v>
      </c>
      <c r="R102" s="21" t="n">
        <v>0.29106</v>
      </c>
      <c r="S102" s="21" t="n">
        <v>0.165</v>
      </c>
      <c r="T102" s="21" t="n">
        <v>0.294</v>
      </c>
      <c r="V102" s="6" t="s">
        <v>1101</v>
      </c>
      <c r="W102" s="21" t="n">
        <v>0.226606735</v>
      </c>
    </row>
    <row r="103" customFormat="false" ht="15" hidden="false" customHeight="false" outlineLevel="0" collapsed="false">
      <c r="A103" s="21" t="n">
        <v>99</v>
      </c>
      <c r="B103" s="6" t="s">
        <v>1102</v>
      </c>
      <c r="C103" s="21" t="n">
        <v>0.55</v>
      </c>
      <c r="D103" s="21"/>
      <c r="E103" s="6" t="s">
        <v>1099</v>
      </c>
      <c r="Q103" s="6" t="s">
        <v>1103</v>
      </c>
      <c r="R103" s="21" t="n">
        <v>0.31185</v>
      </c>
      <c r="S103" s="21" t="n">
        <v>0.165</v>
      </c>
      <c r="T103" s="21" t="n">
        <v>0.315</v>
      </c>
      <c r="V103" s="6" t="s">
        <v>1104</v>
      </c>
      <c r="W103" s="21" t="n">
        <v>0.00314314</v>
      </c>
    </row>
    <row r="104" customFormat="false" ht="15" hidden="false" customHeight="false" outlineLevel="0" collapsed="false">
      <c r="A104" s="21" t="n">
        <v>100</v>
      </c>
      <c r="B104" s="6" t="s">
        <v>1105</v>
      </c>
      <c r="C104" s="21" t="n">
        <v>0.55</v>
      </c>
      <c r="D104" s="21"/>
      <c r="E104" s="6" t="s">
        <v>1099</v>
      </c>
      <c r="Q104" s="6" t="s">
        <v>1106</v>
      </c>
      <c r="R104" s="21" t="n">
        <v>0.33264</v>
      </c>
      <c r="S104" s="21" t="n">
        <v>0.165</v>
      </c>
      <c r="T104" s="21" t="n">
        <v>0.336</v>
      </c>
      <c r="V104" s="6" t="s">
        <v>1107</v>
      </c>
      <c r="W104" s="21" t="n">
        <v>0.00398466</v>
      </c>
    </row>
    <row r="105" customFormat="false" ht="15" hidden="false" customHeight="false" outlineLevel="0" collapsed="false">
      <c r="A105" s="21" t="n">
        <v>101</v>
      </c>
      <c r="B105" s="6" t="s">
        <v>1108</v>
      </c>
      <c r="C105" s="21" t="n">
        <v>0.65</v>
      </c>
      <c r="D105" s="21"/>
      <c r="E105" s="6" t="s">
        <v>1099</v>
      </c>
      <c r="Q105" s="6" t="s">
        <v>1109</v>
      </c>
      <c r="R105" s="21" t="n">
        <v>0.35343</v>
      </c>
      <c r="S105" s="21" t="n">
        <v>0.165</v>
      </c>
      <c r="T105" s="21" t="n">
        <v>0.357</v>
      </c>
      <c r="V105" s="6" t="s">
        <v>1110</v>
      </c>
      <c r="W105" s="21" t="n">
        <v>0.00480106</v>
      </c>
    </row>
    <row r="106" customFormat="false" ht="23.85" hidden="false" customHeight="false" outlineLevel="0" collapsed="false">
      <c r="A106" s="21" t="n">
        <v>102</v>
      </c>
      <c r="B106" s="6" t="s">
        <v>1111</v>
      </c>
      <c r="C106" s="21" t="n">
        <v>0.05</v>
      </c>
      <c r="D106" s="21"/>
      <c r="E106" s="6" t="s">
        <v>1112</v>
      </c>
      <c r="Q106" s="6" t="s">
        <v>1113</v>
      </c>
      <c r="R106" s="21" t="n">
        <v>0.37422</v>
      </c>
      <c r="S106" s="21" t="n">
        <v>0.165</v>
      </c>
      <c r="T106" s="21" t="n">
        <v>0.378</v>
      </c>
      <c r="V106" s="6" t="s">
        <v>1114</v>
      </c>
      <c r="W106" s="21" t="n">
        <v>0.00519984</v>
      </c>
    </row>
    <row r="107" customFormat="false" ht="23.85" hidden="false" customHeight="false" outlineLevel="0" collapsed="false">
      <c r="A107" s="21" t="n">
        <v>103</v>
      </c>
      <c r="B107" s="6" t="s">
        <v>1115</v>
      </c>
      <c r="C107" s="21" t="n">
        <v>0.068</v>
      </c>
      <c r="D107" s="21"/>
      <c r="E107" s="6" t="s">
        <v>1112</v>
      </c>
      <c r="Q107" s="6" t="s">
        <v>1116</v>
      </c>
      <c r="R107" s="21" t="n">
        <v>0.39501</v>
      </c>
      <c r="S107" s="21" t="n">
        <v>0.165</v>
      </c>
      <c r="T107" s="21" t="n">
        <v>0.399</v>
      </c>
      <c r="V107" s="6" t="s">
        <v>1117</v>
      </c>
      <c r="W107" s="21" t="n">
        <v>0.00673216</v>
      </c>
    </row>
    <row r="108" customFormat="false" ht="23.85" hidden="false" customHeight="false" outlineLevel="0" collapsed="false">
      <c r="A108" s="21" t="n">
        <v>104</v>
      </c>
      <c r="B108" s="6" t="s">
        <v>1118</v>
      </c>
      <c r="C108" s="21" t="n">
        <v>0.09</v>
      </c>
      <c r="D108" s="21"/>
      <c r="E108" s="6" t="s">
        <v>1112</v>
      </c>
      <c r="Q108" s="6" t="s">
        <v>1119</v>
      </c>
      <c r="R108" s="21" t="n">
        <v>0.4158</v>
      </c>
      <c r="S108" s="21" t="n">
        <v>0.165</v>
      </c>
      <c r="T108" s="21" t="n">
        <v>0.42</v>
      </c>
      <c r="V108" s="6" t="s">
        <v>1120</v>
      </c>
      <c r="W108" s="21" t="n">
        <v>0.008164</v>
      </c>
    </row>
    <row r="109" customFormat="false" ht="23.85" hidden="false" customHeight="false" outlineLevel="0" collapsed="false">
      <c r="A109" s="21" t="n">
        <v>105</v>
      </c>
      <c r="B109" s="6" t="s">
        <v>1121</v>
      </c>
      <c r="C109" s="21" t="n">
        <v>0.105</v>
      </c>
      <c r="D109" s="21"/>
      <c r="E109" s="6" t="s">
        <v>1112</v>
      </c>
      <c r="Q109" s="6" t="s">
        <v>1122</v>
      </c>
      <c r="R109" s="21" t="n">
        <v>0.43659</v>
      </c>
      <c r="S109" s="21" t="n">
        <v>0.165</v>
      </c>
      <c r="T109" s="21" t="n">
        <v>0.441</v>
      </c>
      <c r="V109" s="6" t="s">
        <v>1123</v>
      </c>
      <c r="W109" s="21" t="n">
        <v>0.00482304</v>
      </c>
    </row>
    <row r="110" customFormat="false" ht="23.85" hidden="false" customHeight="false" outlineLevel="0" collapsed="false">
      <c r="A110" s="21" t="n">
        <v>106</v>
      </c>
      <c r="B110" s="6" t="s">
        <v>1124</v>
      </c>
      <c r="C110" s="21" t="n">
        <v>0.072</v>
      </c>
      <c r="D110" s="21"/>
      <c r="E110" s="6" t="s">
        <v>1112</v>
      </c>
      <c r="Q110" s="6" t="s">
        <v>1125</v>
      </c>
      <c r="R110" s="21" t="n">
        <v>0.19152</v>
      </c>
      <c r="S110" s="21" t="n">
        <v>0.19</v>
      </c>
      <c r="T110" s="21" t="n">
        <v>0.168</v>
      </c>
      <c r="V110" s="6" t="s">
        <v>1126</v>
      </c>
      <c r="W110" s="21" t="n">
        <v>0.00539766</v>
      </c>
    </row>
    <row r="111" customFormat="false" ht="23.85" hidden="false" customHeight="false" outlineLevel="0" collapsed="false">
      <c r="A111" s="21" t="n">
        <v>107</v>
      </c>
      <c r="B111" s="6" t="s">
        <v>1127</v>
      </c>
      <c r="C111" s="21" t="n">
        <v>0.025</v>
      </c>
      <c r="D111" s="21"/>
      <c r="E111" s="6" t="s">
        <v>1112</v>
      </c>
      <c r="Q111" s="6" t="s">
        <v>1128</v>
      </c>
      <c r="R111" s="21" t="n">
        <v>0.21546</v>
      </c>
      <c r="S111" s="21" t="n">
        <v>0.19</v>
      </c>
      <c r="T111" s="21" t="n">
        <v>0.189</v>
      </c>
      <c r="V111" s="6" t="s">
        <v>1129</v>
      </c>
      <c r="W111" s="21" t="n">
        <v>0.00652806</v>
      </c>
    </row>
    <row r="112" customFormat="false" ht="23.85" hidden="false" customHeight="false" outlineLevel="0" collapsed="false">
      <c r="A112" s="21" t="n">
        <v>108</v>
      </c>
      <c r="B112" s="6" t="s">
        <v>1130</v>
      </c>
      <c r="C112" s="21" t="n">
        <v>0.025</v>
      </c>
      <c r="D112" s="21"/>
      <c r="E112" s="6" t="s">
        <v>1112</v>
      </c>
      <c r="Q112" s="6" t="s">
        <v>1131</v>
      </c>
      <c r="R112" s="21" t="n">
        <v>0.2394</v>
      </c>
      <c r="S112" s="21" t="n">
        <v>0.19</v>
      </c>
      <c r="T112" s="21" t="n">
        <v>0.21</v>
      </c>
      <c r="V112" s="6" t="s">
        <v>1132</v>
      </c>
      <c r="W112" s="21" t="n">
        <v>0.00708384</v>
      </c>
    </row>
    <row r="113" customFormat="false" ht="23.85" hidden="false" customHeight="false" outlineLevel="0" collapsed="false">
      <c r="A113" s="21" t="n">
        <v>109</v>
      </c>
      <c r="B113" s="6" t="s">
        <v>1133</v>
      </c>
      <c r="C113" s="21" t="n">
        <v>0.016</v>
      </c>
      <c r="D113" s="21"/>
      <c r="E113" s="6" t="s">
        <v>1112</v>
      </c>
      <c r="Q113" s="6" t="s">
        <v>1134</v>
      </c>
      <c r="R113" s="21" t="n">
        <v>0.26334</v>
      </c>
      <c r="S113" s="21" t="n">
        <v>0.19</v>
      </c>
      <c r="T113" s="21" t="n">
        <v>0.231</v>
      </c>
      <c r="V113" s="6" t="s">
        <v>1135</v>
      </c>
      <c r="W113" s="21" t="n">
        <v>0.00924416</v>
      </c>
    </row>
    <row r="114" customFormat="false" ht="23.85" hidden="false" customHeight="false" outlineLevel="0" collapsed="false">
      <c r="A114" s="21" t="n">
        <v>110</v>
      </c>
      <c r="B114" s="6" t="s">
        <v>1136</v>
      </c>
      <c r="C114" s="21" t="n">
        <v>0.016</v>
      </c>
      <c r="D114" s="21"/>
      <c r="E114" s="6" t="s">
        <v>1112</v>
      </c>
      <c r="Q114" s="6" t="s">
        <v>1137</v>
      </c>
      <c r="R114" s="21" t="n">
        <v>0.28728</v>
      </c>
      <c r="S114" s="21" t="n">
        <v>0.19</v>
      </c>
      <c r="T114" s="21" t="n">
        <v>0.252</v>
      </c>
      <c r="V114" s="6" t="s">
        <v>1138</v>
      </c>
      <c r="W114" s="21" t="n">
        <v>0.011304</v>
      </c>
    </row>
    <row r="115" customFormat="false" ht="23.85" hidden="false" customHeight="false" outlineLevel="0" collapsed="false">
      <c r="A115" s="21" t="n">
        <v>111</v>
      </c>
      <c r="B115" s="6" t="s">
        <v>1139</v>
      </c>
      <c r="C115" s="21" t="n">
        <v>0.025</v>
      </c>
      <c r="D115" s="21"/>
      <c r="E115" s="6" t="s">
        <v>1112</v>
      </c>
      <c r="Q115" s="6" t="s">
        <v>1140</v>
      </c>
      <c r="R115" s="21" t="n">
        <v>0.31122</v>
      </c>
      <c r="S115" s="21" t="n">
        <v>0.19</v>
      </c>
      <c r="T115" s="21" t="n">
        <v>0.273</v>
      </c>
      <c r="V115" s="6" t="s">
        <v>1141</v>
      </c>
      <c r="W115" s="21" t="n">
        <v>0.00607904</v>
      </c>
    </row>
    <row r="116" customFormat="false" ht="23.85" hidden="false" customHeight="false" outlineLevel="0" collapsed="false">
      <c r="A116" s="21" t="n">
        <v>112</v>
      </c>
      <c r="B116" s="6" t="s">
        <v>1142</v>
      </c>
      <c r="C116" s="21" t="n">
        <v>0.014</v>
      </c>
      <c r="D116" s="21"/>
      <c r="E116" s="6" t="s">
        <v>1112</v>
      </c>
      <c r="Q116" s="6" t="s">
        <v>1143</v>
      </c>
      <c r="R116" s="21" t="n">
        <v>0.33516</v>
      </c>
      <c r="S116" s="21" t="n">
        <v>0.19</v>
      </c>
      <c r="T116" s="21" t="n">
        <v>0.294</v>
      </c>
      <c r="V116" s="6" t="s">
        <v>1144</v>
      </c>
      <c r="W116" s="21" t="n">
        <v>0.00681066</v>
      </c>
    </row>
    <row r="117" customFormat="false" ht="23.85" hidden="false" customHeight="false" outlineLevel="0" collapsed="false">
      <c r="A117" s="21" t="n">
        <v>113</v>
      </c>
      <c r="B117" s="6" t="s">
        <v>1145</v>
      </c>
      <c r="C117" s="21" t="n">
        <v>0.0175</v>
      </c>
      <c r="D117" s="21"/>
      <c r="E117" s="6" t="s">
        <v>1112</v>
      </c>
      <c r="Q117" s="6" t="s">
        <v>1146</v>
      </c>
      <c r="R117" s="21" t="n">
        <v>0.3591</v>
      </c>
      <c r="S117" s="21" t="n">
        <v>0.19</v>
      </c>
      <c r="T117" s="21" t="n">
        <v>0.315</v>
      </c>
      <c r="V117" s="6" t="s">
        <v>1147</v>
      </c>
      <c r="W117" s="21" t="n">
        <v>0.00825506</v>
      </c>
    </row>
    <row r="118" customFormat="false" ht="23.85" hidden="false" customHeight="false" outlineLevel="0" collapsed="false">
      <c r="A118" s="21" t="n">
        <v>114</v>
      </c>
      <c r="B118" s="6" t="s">
        <v>1148</v>
      </c>
      <c r="C118" s="21" t="n">
        <v>0.0204</v>
      </c>
      <c r="D118" s="21"/>
      <c r="E118" s="6" t="s">
        <v>1112</v>
      </c>
      <c r="Q118" s="6" t="s">
        <v>1149</v>
      </c>
      <c r="R118" s="21" t="n">
        <v>0.38304</v>
      </c>
      <c r="S118" s="21" t="n">
        <v>0.19</v>
      </c>
      <c r="T118" s="21" t="n">
        <v>0.336</v>
      </c>
      <c r="V118" s="6" t="s">
        <v>1150</v>
      </c>
      <c r="W118" s="21" t="n">
        <v>0.00896783999999999</v>
      </c>
    </row>
    <row r="119" customFormat="false" ht="23.85" hidden="false" customHeight="false" outlineLevel="0" collapsed="false">
      <c r="A119" s="21" t="n">
        <v>115</v>
      </c>
      <c r="B119" s="6" t="s">
        <v>1151</v>
      </c>
      <c r="C119" s="21" t="n">
        <v>0.012</v>
      </c>
      <c r="D119" s="21"/>
      <c r="E119" s="6" t="s">
        <v>1112</v>
      </c>
      <c r="Q119" s="6" t="s">
        <v>1152</v>
      </c>
      <c r="R119" s="21" t="n">
        <v>0.40698</v>
      </c>
      <c r="S119" s="21" t="n">
        <v>0.19</v>
      </c>
      <c r="T119" s="21" t="n">
        <v>0.357</v>
      </c>
      <c r="V119" s="6" t="s">
        <v>1153</v>
      </c>
      <c r="W119" s="21" t="n">
        <v>0.01175616</v>
      </c>
    </row>
    <row r="120" customFormat="false" ht="23.85" hidden="false" customHeight="false" outlineLevel="0" collapsed="false">
      <c r="A120" s="21" t="n">
        <v>116</v>
      </c>
      <c r="B120" s="6" t="s">
        <v>1154</v>
      </c>
      <c r="C120" s="21" t="n">
        <v>0.028</v>
      </c>
      <c r="D120" s="21"/>
      <c r="E120" s="6" t="s">
        <v>1112</v>
      </c>
      <c r="Q120" s="6" t="s">
        <v>1155</v>
      </c>
      <c r="R120" s="21" t="n">
        <v>0.43092</v>
      </c>
      <c r="S120" s="21" t="n">
        <v>0.19</v>
      </c>
      <c r="T120" s="21" t="n">
        <v>0.378</v>
      </c>
      <c r="V120" s="6" t="s">
        <v>1156</v>
      </c>
      <c r="W120" s="21" t="n">
        <v>0.014444</v>
      </c>
    </row>
    <row r="121" customFormat="false" ht="23.85" hidden="false" customHeight="false" outlineLevel="0" collapsed="false">
      <c r="A121" s="21" t="n">
        <v>117</v>
      </c>
      <c r="B121" s="6" t="s">
        <v>1157</v>
      </c>
      <c r="C121" s="21" t="n">
        <v>0.047</v>
      </c>
      <c r="D121" s="21"/>
      <c r="E121" s="6" t="s">
        <v>1112</v>
      </c>
      <c r="Q121" s="6" t="s">
        <v>1158</v>
      </c>
      <c r="R121" s="21" t="n">
        <v>0.45486</v>
      </c>
      <c r="S121" s="21" t="n">
        <v>0.19</v>
      </c>
      <c r="T121" s="21" t="n">
        <v>0.399</v>
      </c>
      <c r="V121" s="6" t="s">
        <v>1159</v>
      </c>
      <c r="W121" s="21" t="n">
        <v>0.00733504</v>
      </c>
    </row>
    <row r="122" customFormat="false" ht="23.85" hidden="false" customHeight="false" outlineLevel="0" collapsed="false">
      <c r="A122" s="21" t="n">
        <v>118</v>
      </c>
      <c r="B122" s="6" t="s">
        <v>1160</v>
      </c>
      <c r="C122" s="21" t="n">
        <v>0.07</v>
      </c>
      <c r="D122" s="21"/>
      <c r="E122" s="6" t="s">
        <v>1112</v>
      </c>
      <c r="Q122" s="6" t="s">
        <v>1161</v>
      </c>
      <c r="R122" s="21" t="n">
        <v>0.4788</v>
      </c>
      <c r="S122" s="21" t="n">
        <v>0.19</v>
      </c>
      <c r="T122" s="21" t="n">
        <v>0.42</v>
      </c>
      <c r="V122" s="6" t="s">
        <v>1162</v>
      </c>
      <c r="W122" s="21" t="n">
        <v>0.00822366</v>
      </c>
    </row>
    <row r="123" customFormat="false" ht="15" hidden="false" customHeight="false" outlineLevel="0" collapsed="false">
      <c r="A123" s="21" t="n">
        <v>119</v>
      </c>
      <c r="B123" s="6" t="s">
        <v>1163</v>
      </c>
      <c r="C123" s="21"/>
      <c r="D123" s="21" t="n">
        <v>2</v>
      </c>
      <c r="E123" s="6" t="s">
        <v>1164</v>
      </c>
      <c r="Q123" s="6" t="s">
        <v>1165</v>
      </c>
      <c r="R123" s="21" t="n">
        <v>0.50274</v>
      </c>
      <c r="S123" s="21" t="n">
        <v>0.19</v>
      </c>
      <c r="T123" s="21" t="n">
        <v>0.441</v>
      </c>
      <c r="V123" s="6" t="s">
        <v>1166</v>
      </c>
      <c r="W123" s="21" t="n">
        <v>0.00998206</v>
      </c>
    </row>
    <row r="124" customFormat="false" ht="15" hidden="false" customHeight="false" outlineLevel="0" collapsed="false">
      <c r="A124" s="21" t="n">
        <v>120</v>
      </c>
      <c r="B124" s="6" t="s">
        <v>1167</v>
      </c>
      <c r="C124" s="21"/>
      <c r="D124" s="21" t="n">
        <v>8.2</v>
      </c>
      <c r="E124" s="6" t="s">
        <v>1164</v>
      </c>
      <c r="Q124" s="6" t="s">
        <v>1168</v>
      </c>
      <c r="R124" s="21" t="n">
        <v>0.52668</v>
      </c>
      <c r="S124" s="21" t="n">
        <v>0.19</v>
      </c>
      <c r="T124" s="21" t="n">
        <v>0.462</v>
      </c>
      <c r="V124" s="6" t="s">
        <v>1169</v>
      </c>
      <c r="W124" s="21" t="n">
        <v>0.01085184</v>
      </c>
    </row>
    <row r="125" customFormat="false" ht="15" hidden="false" customHeight="false" outlineLevel="0" collapsed="false">
      <c r="A125" s="21" t="n">
        <v>121</v>
      </c>
      <c r="B125" s="6" t="s">
        <v>1170</v>
      </c>
      <c r="C125" s="21"/>
      <c r="D125" s="21" t="n">
        <v>7.4</v>
      </c>
      <c r="E125" s="6" t="s">
        <v>1164</v>
      </c>
      <c r="V125" s="6" t="s">
        <v>1171</v>
      </c>
      <c r="W125" s="21" t="n">
        <v>0.01426816</v>
      </c>
    </row>
    <row r="126" customFormat="false" ht="15" hidden="false" customHeight="false" outlineLevel="0" collapsed="false">
      <c r="A126" s="21" t="n">
        <v>122</v>
      </c>
      <c r="B126" s="6" t="s">
        <v>1172</v>
      </c>
      <c r="C126" s="21"/>
      <c r="D126" s="21" t="n">
        <v>7.4</v>
      </c>
      <c r="E126" s="6" t="s">
        <v>1164</v>
      </c>
      <c r="V126" s="6" t="s">
        <v>1173</v>
      </c>
      <c r="W126" s="21" t="n">
        <v>0.017584</v>
      </c>
    </row>
    <row r="127" customFormat="false" ht="15" hidden="false" customHeight="false" outlineLevel="0" collapsed="false">
      <c r="A127" s="21" t="n">
        <v>123</v>
      </c>
      <c r="B127" s="6" t="s">
        <v>1174</v>
      </c>
      <c r="C127" s="21"/>
      <c r="D127" s="21" t="n">
        <v>3</v>
      </c>
      <c r="E127" s="6" t="s">
        <v>1164</v>
      </c>
      <c r="V127" s="6" t="s">
        <v>1175</v>
      </c>
      <c r="W127" s="21" t="n">
        <v>0.00859104000000001</v>
      </c>
    </row>
    <row r="128" customFormat="false" ht="15" hidden="false" customHeight="false" outlineLevel="0" collapsed="false">
      <c r="A128" s="21" t="n">
        <v>124</v>
      </c>
      <c r="B128" s="6" t="s">
        <v>1176</v>
      </c>
      <c r="C128" s="21"/>
      <c r="D128" s="21" t="n">
        <v>6.5</v>
      </c>
      <c r="E128" s="6" t="s">
        <v>1164</v>
      </c>
      <c r="V128" s="6" t="s">
        <v>1177</v>
      </c>
      <c r="W128" s="21" t="n">
        <v>0.00963665999999998</v>
      </c>
    </row>
    <row r="129" customFormat="false" ht="15" hidden="false" customHeight="false" outlineLevel="0" collapsed="false">
      <c r="A129" s="21" t="n">
        <v>125</v>
      </c>
      <c r="B129" s="6" t="s">
        <v>1178</v>
      </c>
      <c r="C129" s="21"/>
      <c r="D129" s="21" t="n">
        <v>2</v>
      </c>
      <c r="E129" s="6" t="s">
        <v>1164</v>
      </c>
      <c r="V129" s="6" t="s">
        <v>1179</v>
      </c>
      <c r="W129" s="21" t="n">
        <v>0.01170906</v>
      </c>
    </row>
    <row r="130" customFormat="false" ht="15" hidden="false" customHeight="false" outlineLevel="0" collapsed="false">
      <c r="A130" s="21" t="n">
        <v>126</v>
      </c>
      <c r="B130" s="6" t="s">
        <v>1180</v>
      </c>
      <c r="C130" s="21"/>
      <c r="D130" s="21" t="n">
        <v>4.5</v>
      </c>
      <c r="E130" s="6" t="s">
        <v>1164</v>
      </c>
      <c r="V130" s="6" t="s">
        <v>1181</v>
      </c>
      <c r="W130" s="21" t="n">
        <v>0.01273584</v>
      </c>
    </row>
    <row r="131" customFormat="false" ht="15" hidden="false" customHeight="false" outlineLevel="0" collapsed="false">
      <c r="A131" s="21" t="n">
        <v>127</v>
      </c>
      <c r="B131" s="6" t="s">
        <v>1182</v>
      </c>
      <c r="C131" s="21"/>
      <c r="D131" s="21" t="n">
        <v>9.3</v>
      </c>
      <c r="E131" s="6" t="s">
        <v>1183</v>
      </c>
      <c r="V131" s="6" t="s">
        <v>1184</v>
      </c>
      <c r="W131" s="21" t="n">
        <v>0.01678016</v>
      </c>
    </row>
    <row r="132" customFormat="false" ht="15" hidden="false" customHeight="false" outlineLevel="0" collapsed="false">
      <c r="A132" s="21" t="n">
        <v>128</v>
      </c>
      <c r="B132" s="6" t="s">
        <v>1185</v>
      </c>
      <c r="C132" s="21"/>
      <c r="D132" s="21" t="n">
        <v>9.7</v>
      </c>
      <c r="E132" s="6" t="s">
        <v>1183</v>
      </c>
      <c r="V132" s="6" t="s">
        <v>1186</v>
      </c>
      <c r="W132" s="21" t="n">
        <v>0.020724</v>
      </c>
    </row>
    <row r="133" customFormat="false" ht="15" hidden="false" customHeight="false" outlineLevel="0" collapsed="false">
      <c r="A133" s="21" t="n">
        <v>129</v>
      </c>
      <c r="B133" s="6" t="s">
        <v>1187</v>
      </c>
      <c r="C133" s="21"/>
      <c r="D133" s="21" t="n">
        <v>7.9</v>
      </c>
      <c r="E133" s="6" t="s">
        <v>1183</v>
      </c>
      <c r="V133" s="6" t="s">
        <v>1188</v>
      </c>
      <c r="W133" s="21" t="n">
        <v>0.00984704000000001</v>
      </c>
    </row>
    <row r="134" customFormat="false" ht="15" hidden="false" customHeight="false" outlineLevel="0" collapsed="false">
      <c r="A134" s="21" t="n">
        <v>130</v>
      </c>
      <c r="B134" s="6" t="s">
        <v>1189</v>
      </c>
      <c r="C134" s="21"/>
      <c r="D134" s="21" t="n">
        <v>12</v>
      </c>
      <c r="E134" s="6" t="s">
        <v>1183</v>
      </c>
      <c r="V134" s="6" t="s">
        <v>1190</v>
      </c>
      <c r="W134" s="21" t="n">
        <v>0.01104966</v>
      </c>
    </row>
    <row r="135" customFormat="false" ht="15" hidden="false" customHeight="false" outlineLevel="0" collapsed="false">
      <c r="A135" s="21" t="n">
        <v>131</v>
      </c>
      <c r="B135" s="6" t="s">
        <v>1191</v>
      </c>
      <c r="C135" s="21"/>
      <c r="D135" s="21" t="n">
        <v>14.1</v>
      </c>
      <c r="E135" s="6" t="s">
        <v>1183</v>
      </c>
      <c r="V135" s="6" t="s">
        <v>1192</v>
      </c>
      <c r="W135" s="21" t="n">
        <v>0.01343606</v>
      </c>
    </row>
    <row r="136" customFormat="false" ht="15" hidden="false" customHeight="false" outlineLevel="0" collapsed="false">
      <c r="A136" s="21" t="n">
        <v>132</v>
      </c>
      <c r="B136" s="6" t="s">
        <v>1193</v>
      </c>
      <c r="C136" s="21"/>
      <c r="D136" s="21" t="n">
        <v>18.4</v>
      </c>
      <c r="E136" s="6" t="s">
        <v>1183</v>
      </c>
      <c r="V136" s="6" t="s">
        <v>1194</v>
      </c>
      <c r="W136" s="21" t="n">
        <v>0.01461984</v>
      </c>
    </row>
    <row r="137" customFormat="false" ht="15" hidden="false" customHeight="false" outlineLevel="0" collapsed="false">
      <c r="A137" s="21" t="n">
        <v>133</v>
      </c>
      <c r="B137" s="6" t="s">
        <v>1195</v>
      </c>
      <c r="C137" s="21"/>
      <c r="D137" s="21" t="n">
        <v>10</v>
      </c>
      <c r="E137" s="6" t="s">
        <v>1183</v>
      </c>
      <c r="V137" s="6" t="s">
        <v>1196</v>
      </c>
      <c r="W137" s="21" t="n">
        <v>0.01929216</v>
      </c>
    </row>
    <row r="138" customFormat="false" ht="15" hidden="false" customHeight="false" outlineLevel="0" collapsed="false">
      <c r="A138" s="21" t="n">
        <v>134</v>
      </c>
      <c r="B138" s="6" t="s">
        <v>1197</v>
      </c>
      <c r="C138" s="21"/>
      <c r="D138" s="21" t="n">
        <v>8</v>
      </c>
      <c r="E138" s="6" t="s">
        <v>1183</v>
      </c>
      <c r="V138" s="6" t="s">
        <v>1198</v>
      </c>
      <c r="W138" s="21" t="n">
        <v>0.023864</v>
      </c>
    </row>
    <row r="139" customFormat="false" ht="15" hidden="false" customHeight="false" outlineLevel="0" collapsed="false">
      <c r="A139" s="21" t="n">
        <v>135</v>
      </c>
      <c r="B139" s="6" t="s">
        <v>1199</v>
      </c>
      <c r="C139" s="21"/>
      <c r="D139" s="21" t="n">
        <v>10.4</v>
      </c>
      <c r="E139" s="6" t="s">
        <v>1183</v>
      </c>
      <c r="V139" s="6" t="s">
        <v>1200</v>
      </c>
      <c r="W139" s="21" t="n">
        <v>0.0294375</v>
      </c>
    </row>
    <row r="140" customFormat="false" ht="15" hidden="false" customHeight="false" outlineLevel="0" collapsed="false">
      <c r="A140" s="21" t="n">
        <v>136</v>
      </c>
      <c r="B140" s="6" t="s">
        <v>1201</v>
      </c>
      <c r="C140" s="21"/>
      <c r="D140" s="21" t="n">
        <v>7.4</v>
      </c>
      <c r="E140" s="6" t="s">
        <v>1183</v>
      </c>
      <c r="V140" s="6" t="s">
        <v>1202</v>
      </c>
      <c r="W140" s="21" t="n">
        <v>0.03697664</v>
      </c>
    </row>
    <row r="141" customFormat="false" ht="15" hidden="false" customHeight="false" outlineLevel="0" collapsed="false">
      <c r="A141" s="21" t="n">
        <v>137</v>
      </c>
      <c r="B141" s="6" t="s">
        <v>1203</v>
      </c>
      <c r="C141" s="21"/>
      <c r="D141" s="21" t="n">
        <v>9</v>
      </c>
      <c r="E141" s="6" t="s">
        <v>1183</v>
      </c>
      <c r="V141" s="6" t="s">
        <v>1204</v>
      </c>
      <c r="W141" s="21" t="n">
        <v>0.01246266</v>
      </c>
    </row>
    <row r="142" customFormat="false" ht="15" hidden="false" customHeight="false" outlineLevel="0" collapsed="false">
      <c r="A142" s="21" t="n">
        <v>138</v>
      </c>
      <c r="B142" s="6" t="s">
        <v>1205</v>
      </c>
      <c r="C142" s="21"/>
      <c r="D142" s="21" t="n">
        <v>10.3</v>
      </c>
      <c r="E142" s="6" t="s">
        <v>1183</v>
      </c>
      <c r="V142" s="6" t="s">
        <v>1206</v>
      </c>
      <c r="W142" s="21" t="n">
        <v>0.01516306</v>
      </c>
    </row>
    <row r="143" customFormat="false" ht="15" hidden="false" customHeight="false" outlineLevel="0" collapsed="false">
      <c r="A143" s="21" t="n">
        <v>139</v>
      </c>
      <c r="B143" s="6" t="s">
        <v>1207</v>
      </c>
      <c r="C143" s="21"/>
      <c r="D143" s="21" t="n">
        <v>11</v>
      </c>
      <c r="E143" s="6" t="s">
        <v>1183</v>
      </c>
      <c r="V143" s="6" t="s">
        <v>1208</v>
      </c>
      <c r="W143" s="21" t="n">
        <v>0.01650384</v>
      </c>
    </row>
    <row r="144" customFormat="false" ht="15" hidden="false" customHeight="false" outlineLevel="0" collapsed="false">
      <c r="A144" s="21" t="n">
        <v>140</v>
      </c>
      <c r="B144" s="6" t="s">
        <v>1209</v>
      </c>
      <c r="C144" s="21"/>
      <c r="D144" s="21" t="n">
        <v>9</v>
      </c>
      <c r="E144" s="6" t="s">
        <v>1183</v>
      </c>
      <c r="V144" s="6" t="s">
        <v>1210</v>
      </c>
      <c r="W144" s="21" t="n">
        <v>0.02180416</v>
      </c>
    </row>
    <row r="145" customFormat="false" ht="15" hidden="false" customHeight="false" outlineLevel="0" collapsed="false">
      <c r="A145" s="21" t="n">
        <v>141</v>
      </c>
      <c r="B145" s="6" t="s">
        <v>1211</v>
      </c>
      <c r="C145" s="21"/>
      <c r="D145" s="21" t="n">
        <v>10</v>
      </c>
      <c r="E145" s="6" t="s">
        <v>1183</v>
      </c>
      <c r="V145" s="6" t="s">
        <v>1212</v>
      </c>
      <c r="W145" s="21" t="n">
        <v>0.027004</v>
      </c>
    </row>
    <row r="146" customFormat="false" ht="15" hidden="false" customHeight="false" outlineLevel="0" collapsed="false">
      <c r="A146" s="21" t="n">
        <v>142</v>
      </c>
      <c r="B146" s="6" t="s">
        <v>1213</v>
      </c>
      <c r="C146" s="21"/>
      <c r="D146" s="21" t="n">
        <v>5.7</v>
      </c>
      <c r="E146" s="6" t="s">
        <v>1183</v>
      </c>
      <c r="V146" s="6" t="s">
        <v>1214</v>
      </c>
      <c r="W146" s="21" t="n">
        <v>0.0333625</v>
      </c>
    </row>
    <row r="147" customFormat="false" ht="15" hidden="false" customHeight="false" outlineLevel="0" collapsed="false">
      <c r="A147" s="21" t="n">
        <v>143</v>
      </c>
      <c r="B147" s="6" t="s">
        <v>1215</v>
      </c>
      <c r="C147" s="21"/>
      <c r="D147" s="21" t="n">
        <v>5</v>
      </c>
      <c r="E147" s="6" t="s">
        <v>1183</v>
      </c>
      <c r="V147" s="6" t="s">
        <v>1216</v>
      </c>
      <c r="W147" s="21" t="n">
        <v>0.04200064</v>
      </c>
    </row>
    <row r="148" customFormat="false" ht="15" hidden="false" customHeight="false" outlineLevel="0" collapsed="false">
      <c r="A148" s="21" t="n">
        <v>144</v>
      </c>
      <c r="B148" s="6" t="s">
        <v>1217</v>
      </c>
      <c r="C148" s="21"/>
      <c r="D148" s="21" t="n">
        <v>9</v>
      </c>
      <c r="E148" s="6" t="s">
        <v>1183</v>
      </c>
      <c r="V148" s="6" t="s">
        <v>1218</v>
      </c>
      <c r="W148" s="21" t="n">
        <v>0.01387566</v>
      </c>
    </row>
    <row r="149" customFormat="false" ht="15" hidden="false" customHeight="false" outlineLevel="0" collapsed="false">
      <c r="A149" s="21" t="n">
        <v>145</v>
      </c>
      <c r="B149" s="6" t="s">
        <v>1219</v>
      </c>
      <c r="C149" s="21"/>
      <c r="D149" s="21" t="n">
        <v>12.5</v>
      </c>
      <c r="E149" s="6" t="s">
        <v>1183</v>
      </c>
      <c r="V149" s="6" t="s">
        <v>1220</v>
      </c>
      <c r="W149" s="21" t="n">
        <v>0.01689006</v>
      </c>
    </row>
    <row r="150" customFormat="false" ht="15" hidden="false" customHeight="false" outlineLevel="0" collapsed="false">
      <c r="A150" s="21" t="n">
        <v>146</v>
      </c>
      <c r="B150" s="6" t="s">
        <v>1221</v>
      </c>
      <c r="C150" s="21"/>
      <c r="D150" s="21" t="n">
        <v>10.3</v>
      </c>
      <c r="E150" s="6" t="s">
        <v>1183</v>
      </c>
      <c r="V150" s="6" t="s">
        <v>1222</v>
      </c>
      <c r="W150" s="21" t="n">
        <v>0.01838784</v>
      </c>
    </row>
    <row r="151" customFormat="false" ht="15" hidden="false" customHeight="false" outlineLevel="0" collapsed="false">
      <c r="A151" s="21" t="n">
        <v>147</v>
      </c>
      <c r="B151" s="6" t="s">
        <v>1223</v>
      </c>
      <c r="C151" s="21"/>
      <c r="D151" s="21" t="n">
        <v>136</v>
      </c>
      <c r="E151" s="6" t="s">
        <v>1183</v>
      </c>
      <c r="V151" s="6" t="s">
        <v>1224</v>
      </c>
      <c r="W151" s="21" t="n">
        <v>0.02431616</v>
      </c>
    </row>
    <row r="152" customFormat="false" ht="15" hidden="false" customHeight="false" outlineLevel="0" collapsed="false">
      <c r="A152" s="21" t="n">
        <v>148</v>
      </c>
      <c r="B152" s="6" t="s">
        <v>1225</v>
      </c>
      <c r="C152" s="21"/>
      <c r="D152" s="21" t="n">
        <v>9</v>
      </c>
      <c r="E152" s="6" t="s">
        <v>1183</v>
      </c>
      <c r="V152" s="6" t="s">
        <v>1226</v>
      </c>
      <c r="W152" s="21" t="n">
        <v>0.030144</v>
      </c>
    </row>
    <row r="153" customFormat="false" ht="15" hidden="false" customHeight="false" outlineLevel="0" collapsed="false">
      <c r="A153" s="21" t="n">
        <v>149</v>
      </c>
      <c r="B153" s="6" t="s">
        <v>1227</v>
      </c>
      <c r="C153" s="21"/>
      <c r="D153" s="21" t="n">
        <v>8</v>
      </c>
      <c r="E153" s="6" t="s">
        <v>1183</v>
      </c>
      <c r="V153" s="6" t="s">
        <v>1228</v>
      </c>
      <c r="W153" s="21" t="n">
        <v>0.0372875</v>
      </c>
    </row>
    <row r="154" customFormat="false" ht="15" hidden="false" customHeight="false" outlineLevel="0" collapsed="false">
      <c r="A154" s="21" t="n">
        <v>150</v>
      </c>
      <c r="B154" s="6" t="s">
        <v>1229</v>
      </c>
      <c r="C154" s="21"/>
      <c r="D154" s="21" t="n">
        <v>7.5</v>
      </c>
      <c r="E154" s="6" t="s">
        <v>1183</v>
      </c>
      <c r="V154" s="6" t="s">
        <v>1230</v>
      </c>
      <c r="W154" s="21" t="n">
        <v>0.04702464</v>
      </c>
    </row>
    <row r="155" customFormat="false" ht="15" hidden="false" customHeight="false" outlineLevel="0" collapsed="false">
      <c r="A155" s="21" t="n">
        <v>151</v>
      </c>
      <c r="B155" s="6" t="s">
        <v>1231</v>
      </c>
      <c r="C155" s="21"/>
      <c r="D155" s="21" t="n">
        <v>10</v>
      </c>
      <c r="E155" s="6" t="s">
        <v>1183</v>
      </c>
      <c r="V155" s="6" t="s">
        <v>1232</v>
      </c>
      <c r="W155" s="21" t="n">
        <v>0.02034406</v>
      </c>
    </row>
    <row r="156" customFormat="false" ht="23.85" hidden="false" customHeight="false" outlineLevel="0" collapsed="false">
      <c r="A156" s="21" t="n">
        <v>152</v>
      </c>
      <c r="B156" s="6" t="s">
        <v>1233</v>
      </c>
      <c r="C156" s="21"/>
      <c r="D156" s="21" t="n">
        <v>9</v>
      </c>
      <c r="E156" s="6" t="s">
        <v>1234</v>
      </c>
      <c r="V156" s="6" t="s">
        <v>1235</v>
      </c>
      <c r="W156" s="21" t="n">
        <v>0.02215584</v>
      </c>
    </row>
    <row r="157" customFormat="false" ht="23.85" hidden="false" customHeight="false" outlineLevel="0" collapsed="false">
      <c r="A157" s="21" t="n">
        <v>153</v>
      </c>
      <c r="B157" s="6" t="s">
        <v>1236</v>
      </c>
      <c r="C157" s="21"/>
      <c r="D157" s="21" t="n">
        <v>7.5</v>
      </c>
      <c r="E157" s="6" t="s">
        <v>1234</v>
      </c>
      <c r="V157" s="6" t="s">
        <v>1237</v>
      </c>
      <c r="W157" s="21" t="n">
        <v>0.02934016</v>
      </c>
    </row>
    <row r="158" customFormat="false" ht="23.85" hidden="false" customHeight="false" outlineLevel="0" collapsed="false">
      <c r="A158" s="21" t="n">
        <v>154</v>
      </c>
      <c r="B158" s="6" t="s">
        <v>1238</v>
      </c>
      <c r="C158" s="21"/>
      <c r="D158" s="21" t="n">
        <v>6.5</v>
      </c>
      <c r="E158" s="6" t="s">
        <v>1234</v>
      </c>
      <c r="V158" s="6" t="s">
        <v>1239</v>
      </c>
      <c r="W158" s="21" t="n">
        <v>0.036424</v>
      </c>
    </row>
    <row r="159" customFormat="false" ht="23.85" hidden="false" customHeight="false" outlineLevel="0" collapsed="false">
      <c r="A159" s="21" t="n">
        <v>155</v>
      </c>
      <c r="B159" s="6" t="s">
        <v>1240</v>
      </c>
      <c r="C159" s="21"/>
      <c r="D159" s="21" t="n">
        <v>13</v>
      </c>
      <c r="E159" s="6" t="s">
        <v>1234</v>
      </c>
      <c r="V159" s="6" t="s">
        <v>1241</v>
      </c>
      <c r="W159" s="21" t="n">
        <v>0.0451375</v>
      </c>
    </row>
    <row r="160" customFormat="false" ht="23.85" hidden="false" customHeight="false" outlineLevel="0" collapsed="false">
      <c r="A160" s="21" t="n">
        <v>156</v>
      </c>
      <c r="B160" s="6" t="s">
        <v>1242</v>
      </c>
      <c r="C160" s="21"/>
      <c r="D160" s="21" t="n">
        <v>6</v>
      </c>
      <c r="E160" s="6" t="s">
        <v>1234</v>
      </c>
      <c r="V160" s="6" t="s">
        <v>1243</v>
      </c>
      <c r="W160" s="21" t="n">
        <v>0.05707264</v>
      </c>
    </row>
    <row r="161" customFormat="false" ht="23.85" hidden="false" customHeight="false" outlineLevel="0" collapsed="false">
      <c r="A161" s="21" t="n">
        <v>157</v>
      </c>
      <c r="B161" s="6" t="s">
        <v>1244</v>
      </c>
      <c r="C161" s="21"/>
      <c r="D161" s="21" t="n">
        <v>8</v>
      </c>
      <c r="E161" s="6" t="s">
        <v>1234</v>
      </c>
      <c r="V161" s="6" t="s">
        <v>1245</v>
      </c>
      <c r="W161" s="21" t="n">
        <v>0.0888539616</v>
      </c>
    </row>
    <row r="162" customFormat="false" ht="23.85" hidden="false" customHeight="false" outlineLevel="0" collapsed="false">
      <c r="A162" s="21" t="n">
        <v>158</v>
      </c>
      <c r="B162" s="6" t="s">
        <v>1246</v>
      </c>
      <c r="C162" s="21"/>
      <c r="D162" s="21" t="n">
        <v>13</v>
      </c>
      <c r="E162" s="6" t="s">
        <v>1234</v>
      </c>
      <c r="V162" s="6" t="s">
        <v>1247</v>
      </c>
      <c r="W162" s="21" t="n">
        <v>0.0259238400000001</v>
      </c>
    </row>
    <row r="163" customFormat="false" ht="23.85" hidden="false" customHeight="false" outlineLevel="0" collapsed="false">
      <c r="A163" s="21" t="n">
        <v>159</v>
      </c>
      <c r="B163" s="6" t="s">
        <v>1248</v>
      </c>
      <c r="C163" s="21"/>
      <c r="D163" s="21" t="n">
        <v>14</v>
      </c>
      <c r="E163" s="6" t="s">
        <v>1234</v>
      </c>
      <c r="V163" s="6" t="s">
        <v>1249</v>
      </c>
      <c r="W163" s="21" t="n">
        <v>0.03436416</v>
      </c>
    </row>
    <row r="164" customFormat="false" ht="23.85" hidden="false" customHeight="false" outlineLevel="0" collapsed="false">
      <c r="A164" s="21" t="n">
        <v>160</v>
      </c>
      <c r="B164" s="6" t="s">
        <v>1250</v>
      </c>
      <c r="C164" s="21"/>
      <c r="D164" s="21" t="n">
        <v>11</v>
      </c>
      <c r="E164" s="6" t="s">
        <v>1234</v>
      </c>
      <c r="V164" s="6" t="s">
        <v>1251</v>
      </c>
      <c r="W164" s="21" t="n">
        <v>0.042704</v>
      </c>
    </row>
    <row r="165" customFormat="false" ht="23.85" hidden="false" customHeight="false" outlineLevel="0" collapsed="false">
      <c r="A165" s="21" t="n">
        <v>161</v>
      </c>
      <c r="B165" s="6" t="s">
        <v>1252</v>
      </c>
      <c r="C165" s="21"/>
      <c r="D165" s="21" t="n">
        <v>15</v>
      </c>
      <c r="E165" s="6" t="s">
        <v>1234</v>
      </c>
      <c r="V165" s="6" t="s">
        <v>1253</v>
      </c>
      <c r="W165" s="21" t="n">
        <v>0.0529875</v>
      </c>
    </row>
    <row r="166" customFormat="false" ht="23.85" hidden="false" customHeight="false" outlineLevel="0" collapsed="false">
      <c r="A166" s="21" t="n">
        <v>162</v>
      </c>
      <c r="B166" s="6" t="s">
        <v>1254</v>
      </c>
      <c r="C166" s="21"/>
      <c r="D166" s="21" t="n">
        <v>10</v>
      </c>
      <c r="E166" s="6" t="s">
        <v>1234</v>
      </c>
      <c r="V166" s="6" t="s">
        <v>1255</v>
      </c>
      <c r="W166" s="21" t="n">
        <v>0.06712064</v>
      </c>
    </row>
    <row r="167" customFormat="false" ht="23.85" hidden="false" customHeight="false" outlineLevel="0" collapsed="false">
      <c r="A167" s="21" t="n">
        <v>163</v>
      </c>
      <c r="B167" s="6" t="s">
        <v>1256</v>
      </c>
      <c r="C167" s="21"/>
      <c r="D167" s="21" t="n">
        <v>17</v>
      </c>
      <c r="E167" s="6" t="s">
        <v>1234</v>
      </c>
      <c r="V167" s="6" t="s">
        <v>1257</v>
      </c>
      <c r="W167" s="21" t="n">
        <v>0.07505856</v>
      </c>
    </row>
    <row r="168" customFormat="false" ht="23.85" hidden="false" customHeight="false" outlineLevel="0" collapsed="false">
      <c r="A168" s="21" t="n">
        <v>164</v>
      </c>
      <c r="B168" s="6" t="s">
        <v>1258</v>
      </c>
      <c r="C168" s="21"/>
      <c r="D168" s="21" t="n">
        <v>1.3</v>
      </c>
      <c r="E168" s="6" t="s">
        <v>1234</v>
      </c>
      <c r="V168" s="6" t="s">
        <v>1259</v>
      </c>
      <c r="W168" s="21" t="n">
        <v>0.1112062086</v>
      </c>
    </row>
    <row r="169" customFormat="false" ht="23.85" hidden="false" customHeight="false" outlineLevel="0" collapsed="false">
      <c r="A169" s="21" t="n">
        <v>165</v>
      </c>
      <c r="B169" s="6" t="s">
        <v>1260</v>
      </c>
      <c r="C169" s="21"/>
      <c r="D169" s="21" t="n">
        <v>14</v>
      </c>
      <c r="E169" s="6" t="s">
        <v>1234</v>
      </c>
      <c r="V169" s="6" t="s">
        <v>1261</v>
      </c>
      <c r="W169" s="21" t="n">
        <v>0.1198255086</v>
      </c>
    </row>
    <row r="170" customFormat="false" ht="23.85" hidden="false" customHeight="false" outlineLevel="0" collapsed="false">
      <c r="A170" s="21" t="n">
        <v>166</v>
      </c>
      <c r="B170" s="6" t="s">
        <v>1262</v>
      </c>
      <c r="C170" s="21"/>
      <c r="D170" s="21" t="n">
        <v>16</v>
      </c>
      <c r="E170" s="6" t="s">
        <v>1234</v>
      </c>
      <c r="V170" s="6" t="s">
        <v>1263</v>
      </c>
      <c r="W170" s="21" t="n">
        <v>0.03938816</v>
      </c>
    </row>
    <row r="171" customFormat="false" ht="23.85" hidden="false" customHeight="false" outlineLevel="0" collapsed="false">
      <c r="A171" s="21" t="n">
        <v>167</v>
      </c>
      <c r="B171" s="6" t="s">
        <v>1264</v>
      </c>
      <c r="C171" s="21"/>
      <c r="D171" s="21" t="n">
        <v>14</v>
      </c>
      <c r="E171" s="6" t="s">
        <v>1234</v>
      </c>
      <c r="V171" s="6" t="s">
        <v>1265</v>
      </c>
      <c r="W171" s="21" t="n">
        <v>0.048984</v>
      </c>
    </row>
    <row r="172" customFormat="false" ht="23.85" hidden="false" customHeight="false" outlineLevel="0" collapsed="false">
      <c r="A172" s="21" t="n">
        <v>168</v>
      </c>
      <c r="B172" s="6" t="s">
        <v>1266</v>
      </c>
      <c r="C172" s="21"/>
      <c r="D172" s="21" t="n">
        <v>9</v>
      </c>
      <c r="E172" s="6" t="s">
        <v>1234</v>
      </c>
      <c r="V172" s="6" t="s">
        <v>1267</v>
      </c>
      <c r="W172" s="21" t="n">
        <v>0.0608375</v>
      </c>
    </row>
    <row r="173" customFormat="false" ht="23.85" hidden="false" customHeight="false" outlineLevel="0" collapsed="false">
      <c r="A173" s="21" t="n">
        <v>169</v>
      </c>
      <c r="B173" s="6" t="s">
        <v>1268</v>
      </c>
      <c r="C173" s="21"/>
      <c r="D173" s="21" t="n">
        <v>9.9</v>
      </c>
      <c r="E173" s="6" t="s">
        <v>1234</v>
      </c>
      <c r="V173" s="6" t="s">
        <v>1269</v>
      </c>
      <c r="W173" s="21" t="n">
        <v>0.0771686400000001</v>
      </c>
    </row>
    <row r="174" customFormat="false" ht="23.85" hidden="false" customHeight="false" outlineLevel="0" collapsed="false">
      <c r="A174" s="21" t="n">
        <v>170</v>
      </c>
      <c r="B174" s="6" t="s">
        <v>1270</v>
      </c>
      <c r="C174" s="21"/>
      <c r="D174" s="21" t="n">
        <v>17.3</v>
      </c>
      <c r="E174" s="6" t="s">
        <v>1234</v>
      </c>
      <c r="V174" s="6" t="s">
        <v>1271</v>
      </c>
      <c r="W174" s="21" t="n">
        <v>0.146850735</v>
      </c>
    </row>
    <row r="175" customFormat="false" ht="23.85" hidden="false" customHeight="false" outlineLevel="0" collapsed="false">
      <c r="A175" s="21" t="n">
        <v>171</v>
      </c>
      <c r="B175" s="6" t="s">
        <v>1272</v>
      </c>
      <c r="C175" s="21"/>
      <c r="D175" s="21" t="n">
        <v>15.7</v>
      </c>
      <c r="E175" s="6" t="s">
        <v>1234</v>
      </c>
      <c r="V175" s="6" t="s">
        <v>1273</v>
      </c>
      <c r="W175" s="21" t="n">
        <v>0.04441216</v>
      </c>
    </row>
    <row r="176" customFormat="false" ht="23.85" hidden="false" customHeight="false" outlineLevel="0" collapsed="false">
      <c r="A176" s="21" t="n">
        <v>172</v>
      </c>
      <c r="B176" s="6" t="s">
        <v>1274</v>
      </c>
      <c r="C176" s="21"/>
      <c r="D176" s="21" t="n">
        <v>15.7</v>
      </c>
      <c r="E176" s="6" t="s">
        <v>1234</v>
      </c>
      <c r="V176" s="6" t="s">
        <v>1275</v>
      </c>
      <c r="W176" s="21" t="n">
        <v>0.055264</v>
      </c>
    </row>
    <row r="177" customFormat="false" ht="23.85" hidden="false" customHeight="false" outlineLevel="0" collapsed="false">
      <c r="A177" s="21" t="n">
        <v>173</v>
      </c>
      <c r="B177" s="6" t="s">
        <v>1276</v>
      </c>
      <c r="C177" s="21"/>
      <c r="D177" s="21" t="n">
        <v>17.3</v>
      </c>
      <c r="E177" s="6" t="s">
        <v>1234</v>
      </c>
      <c r="V177" s="6" t="s">
        <v>1277</v>
      </c>
      <c r="W177" s="21" t="n">
        <v>0.0686875</v>
      </c>
    </row>
    <row r="178" customFormat="false" ht="23.85" hidden="false" customHeight="false" outlineLevel="0" collapsed="false">
      <c r="A178" s="21" t="n">
        <v>174</v>
      </c>
      <c r="B178" s="6" t="s">
        <v>1278</v>
      </c>
      <c r="C178" s="21"/>
      <c r="D178" s="21" t="n">
        <v>18.9</v>
      </c>
      <c r="E178" s="6" t="s">
        <v>1234</v>
      </c>
      <c r="V178" s="6" t="s">
        <v>1279</v>
      </c>
      <c r="W178" s="21" t="n">
        <v>0.0872166400000001</v>
      </c>
    </row>
    <row r="179" customFormat="false" ht="23.85" hidden="false" customHeight="false" outlineLevel="0" collapsed="false">
      <c r="A179" s="21" t="n">
        <v>175</v>
      </c>
      <c r="B179" s="6" t="s">
        <v>1280</v>
      </c>
      <c r="C179" s="21"/>
      <c r="D179" s="21" t="n">
        <v>12.3</v>
      </c>
      <c r="E179" s="6" t="s">
        <v>1234</v>
      </c>
      <c r="V179" s="6" t="s">
        <v>1281</v>
      </c>
      <c r="W179" s="21" t="n">
        <v>0.108016</v>
      </c>
    </row>
    <row r="180" customFormat="false" ht="23.85" hidden="false" customHeight="false" outlineLevel="0" collapsed="false">
      <c r="A180" s="21" t="n">
        <v>176</v>
      </c>
      <c r="B180" s="6" t="s">
        <v>1282</v>
      </c>
      <c r="C180" s="21"/>
      <c r="D180" s="21" t="n">
        <v>15.1</v>
      </c>
      <c r="E180" s="6" t="s">
        <v>1234</v>
      </c>
      <c r="V180" s="6" t="s">
        <v>1283</v>
      </c>
      <c r="W180" s="21" t="n">
        <v>0.1587457144</v>
      </c>
    </row>
    <row r="181" customFormat="false" ht="23.85" hidden="false" customHeight="false" outlineLevel="0" collapsed="false">
      <c r="A181" s="21" t="n">
        <v>177</v>
      </c>
      <c r="B181" s="6" t="s">
        <v>1284</v>
      </c>
      <c r="C181" s="21"/>
      <c r="D181" s="21" t="n">
        <v>17</v>
      </c>
      <c r="E181" s="6" t="s">
        <v>1234</v>
      </c>
      <c r="V181" s="6" t="s">
        <v>1285</v>
      </c>
      <c r="W181" s="21" t="n">
        <v>0.00314314</v>
      </c>
    </row>
    <row r="182" customFormat="false" ht="23.85" hidden="false" customHeight="false" outlineLevel="0" collapsed="false">
      <c r="A182" s="21" t="n">
        <v>178</v>
      </c>
      <c r="B182" s="6" t="s">
        <v>1286</v>
      </c>
      <c r="C182" s="21"/>
      <c r="D182" s="21" t="n">
        <v>12.6</v>
      </c>
      <c r="E182" s="6" t="s">
        <v>1234</v>
      </c>
      <c r="V182" s="6" t="s">
        <v>1287</v>
      </c>
      <c r="W182" s="21" t="n">
        <v>0.00398466</v>
      </c>
    </row>
    <row r="183" customFormat="false" ht="23.85" hidden="false" customHeight="false" outlineLevel="0" collapsed="false">
      <c r="A183" s="21" t="n">
        <v>179</v>
      </c>
      <c r="B183" s="6" t="s">
        <v>1288</v>
      </c>
      <c r="C183" s="21"/>
      <c r="D183" s="21" t="n">
        <v>9.4</v>
      </c>
      <c r="E183" s="6" t="s">
        <v>1234</v>
      </c>
      <c r="V183" s="6" t="s">
        <v>1289</v>
      </c>
      <c r="W183" s="21" t="n">
        <v>0.00480106</v>
      </c>
    </row>
    <row r="184" customFormat="false" ht="23.85" hidden="false" customHeight="false" outlineLevel="0" collapsed="false">
      <c r="A184" s="21" t="n">
        <v>180</v>
      </c>
      <c r="B184" s="6" t="s">
        <v>1290</v>
      </c>
      <c r="C184" s="21"/>
      <c r="D184" s="21" t="n">
        <v>10.2</v>
      </c>
      <c r="E184" s="6" t="s">
        <v>1234</v>
      </c>
      <c r="V184" s="6" t="s">
        <v>1291</v>
      </c>
      <c r="W184" s="21" t="n">
        <v>0.00519984</v>
      </c>
    </row>
    <row r="185" customFormat="false" ht="23.85" hidden="false" customHeight="false" outlineLevel="0" collapsed="false">
      <c r="A185" s="21" t="n">
        <v>181</v>
      </c>
      <c r="B185" s="6" t="s">
        <v>1292</v>
      </c>
      <c r="C185" s="21"/>
      <c r="D185" s="21" t="n">
        <v>14.1</v>
      </c>
      <c r="E185" s="6" t="s">
        <v>1234</v>
      </c>
      <c r="V185" s="6" t="s">
        <v>1293</v>
      </c>
      <c r="W185" s="21" t="n">
        <v>0.00673216</v>
      </c>
    </row>
    <row r="186" customFormat="false" ht="23.85" hidden="false" customHeight="false" outlineLevel="0" collapsed="false">
      <c r="A186" s="21" t="n">
        <v>182</v>
      </c>
      <c r="B186" s="6" t="s">
        <v>1294</v>
      </c>
      <c r="C186" s="21"/>
      <c r="D186" s="21" t="n">
        <v>11</v>
      </c>
      <c r="E186" s="6" t="s">
        <v>1234</v>
      </c>
      <c r="V186" s="6" t="s">
        <v>1295</v>
      </c>
      <c r="W186" s="21" t="n">
        <v>0.008164</v>
      </c>
    </row>
    <row r="187" customFormat="false" ht="23.85" hidden="false" customHeight="false" outlineLevel="0" collapsed="false">
      <c r="A187" s="21" t="n">
        <v>183</v>
      </c>
      <c r="B187" s="6" t="s">
        <v>1296</v>
      </c>
      <c r="C187" s="21"/>
      <c r="D187" s="21" t="n">
        <v>13</v>
      </c>
      <c r="E187" s="6" t="s">
        <v>1234</v>
      </c>
      <c r="V187" s="6" t="s">
        <v>1297</v>
      </c>
      <c r="W187" s="21" t="n">
        <v>0.00482304</v>
      </c>
    </row>
    <row r="188" customFormat="false" ht="23.85" hidden="false" customHeight="false" outlineLevel="0" collapsed="false">
      <c r="A188" s="21" t="n">
        <v>184</v>
      </c>
      <c r="B188" s="6" t="s">
        <v>1298</v>
      </c>
      <c r="C188" s="21"/>
      <c r="D188" s="21" t="n">
        <v>12</v>
      </c>
      <c r="E188" s="6" t="s">
        <v>1234</v>
      </c>
      <c r="V188" s="6" t="s">
        <v>1299</v>
      </c>
      <c r="W188" s="21" t="n">
        <v>0.00539766</v>
      </c>
    </row>
    <row r="189" customFormat="false" ht="15" hidden="false" customHeight="false" outlineLevel="0" collapsed="false">
      <c r="A189" s="21" t="n">
        <v>185</v>
      </c>
      <c r="B189" s="6" t="s">
        <v>1300</v>
      </c>
      <c r="C189" s="21"/>
      <c r="D189" s="21" t="n">
        <v>12</v>
      </c>
      <c r="E189" s="6" t="s">
        <v>1301</v>
      </c>
      <c r="V189" s="6" t="s">
        <v>1302</v>
      </c>
      <c r="W189" s="21" t="n">
        <v>0.00652806</v>
      </c>
    </row>
    <row r="190" customFormat="false" ht="15" hidden="false" customHeight="false" outlineLevel="0" collapsed="false">
      <c r="A190" s="21" t="n">
        <v>186</v>
      </c>
      <c r="B190" s="6" t="s">
        <v>1303</v>
      </c>
      <c r="C190" s="21"/>
      <c r="D190" s="21" t="n">
        <v>16</v>
      </c>
      <c r="E190" s="6" t="s">
        <v>1301</v>
      </c>
      <c r="V190" s="6" t="s">
        <v>1304</v>
      </c>
      <c r="W190" s="21" t="n">
        <v>0.00708384</v>
      </c>
    </row>
    <row r="191" customFormat="false" ht="15" hidden="false" customHeight="false" outlineLevel="0" collapsed="false">
      <c r="A191" s="21" t="n">
        <v>187</v>
      </c>
      <c r="B191" s="6" t="s">
        <v>1305</v>
      </c>
      <c r="C191" s="21"/>
      <c r="D191" s="21" t="n">
        <v>12</v>
      </c>
      <c r="E191" s="6" t="s">
        <v>1301</v>
      </c>
      <c r="V191" s="6" t="s">
        <v>1306</v>
      </c>
      <c r="W191" s="21" t="n">
        <v>0.00924416</v>
      </c>
    </row>
    <row r="192" customFormat="false" ht="15" hidden="false" customHeight="false" outlineLevel="0" collapsed="false">
      <c r="A192" s="21" t="n">
        <v>188</v>
      </c>
      <c r="B192" s="6" t="s">
        <v>1307</v>
      </c>
      <c r="C192" s="21"/>
      <c r="D192" s="21" t="n">
        <v>3</v>
      </c>
      <c r="E192" s="6" t="s">
        <v>1301</v>
      </c>
      <c r="V192" s="6" t="s">
        <v>1308</v>
      </c>
      <c r="W192" s="21" t="n">
        <v>0.011304</v>
      </c>
    </row>
    <row r="193" customFormat="false" ht="15" hidden="false" customHeight="false" outlineLevel="0" collapsed="false">
      <c r="A193" s="21" t="n">
        <v>189</v>
      </c>
      <c r="B193" s="6" t="s">
        <v>1309</v>
      </c>
      <c r="C193" s="21"/>
      <c r="D193" s="21" t="n">
        <v>13</v>
      </c>
      <c r="E193" s="6" t="s">
        <v>1301</v>
      </c>
      <c r="V193" s="6" t="s">
        <v>1310</v>
      </c>
      <c r="W193" s="21" t="n">
        <v>0.00607904</v>
      </c>
    </row>
    <row r="194" customFormat="false" ht="15" hidden="false" customHeight="false" outlineLevel="0" collapsed="false">
      <c r="A194" s="21" t="n">
        <v>190</v>
      </c>
      <c r="B194" s="6" t="s">
        <v>1311</v>
      </c>
      <c r="C194" s="21"/>
      <c r="D194" s="21" t="n">
        <v>20</v>
      </c>
      <c r="E194" s="6" t="s">
        <v>1301</v>
      </c>
      <c r="V194" s="6" t="s">
        <v>1312</v>
      </c>
      <c r="W194" s="21" t="n">
        <v>0.00681066</v>
      </c>
    </row>
    <row r="195" customFormat="false" ht="15" hidden="false" customHeight="false" outlineLevel="0" collapsed="false">
      <c r="A195" s="21" t="n">
        <v>191</v>
      </c>
      <c r="B195" s="6" t="s">
        <v>1313</v>
      </c>
      <c r="C195" s="21"/>
      <c r="D195" s="21" t="n">
        <v>7</v>
      </c>
      <c r="E195" s="6" t="s">
        <v>1301</v>
      </c>
      <c r="V195" s="6" t="s">
        <v>1314</v>
      </c>
      <c r="W195" s="21" t="n">
        <v>0.00825506</v>
      </c>
    </row>
    <row r="196" customFormat="false" ht="15" hidden="false" customHeight="false" outlineLevel="0" collapsed="false">
      <c r="A196" s="21" t="n">
        <v>192</v>
      </c>
      <c r="B196" s="6" t="s">
        <v>1315</v>
      </c>
      <c r="C196" s="21"/>
      <c r="D196" s="21" t="n">
        <v>11</v>
      </c>
      <c r="E196" s="6" t="s">
        <v>1301</v>
      </c>
      <c r="V196" s="6" t="s">
        <v>1316</v>
      </c>
      <c r="W196" s="21" t="n">
        <v>0.00896784</v>
      </c>
    </row>
    <row r="197" customFormat="false" ht="15" hidden="false" customHeight="false" outlineLevel="0" collapsed="false">
      <c r="A197" s="21" t="n">
        <v>193</v>
      </c>
      <c r="B197" s="6" t="s">
        <v>1317</v>
      </c>
      <c r="C197" s="21"/>
      <c r="D197" s="21" t="n">
        <v>5.5</v>
      </c>
      <c r="E197" s="6" t="s">
        <v>1301</v>
      </c>
      <c r="V197" s="6" t="s">
        <v>1318</v>
      </c>
      <c r="W197" s="21" t="n">
        <v>0.01175616</v>
      </c>
    </row>
    <row r="198" customFormat="false" ht="15" hidden="false" customHeight="false" outlineLevel="0" collapsed="false">
      <c r="A198" s="21" t="n">
        <v>194</v>
      </c>
      <c r="B198" s="6" t="s">
        <v>1319</v>
      </c>
      <c r="C198" s="21"/>
      <c r="D198" s="21" t="n">
        <v>15</v>
      </c>
      <c r="E198" s="6" t="s">
        <v>1301</v>
      </c>
      <c r="V198" s="6" t="s">
        <v>1320</v>
      </c>
      <c r="W198" s="21" t="n">
        <v>0.014444</v>
      </c>
    </row>
    <row r="199" customFormat="false" ht="15" hidden="false" customHeight="false" outlineLevel="0" collapsed="false">
      <c r="A199" s="21" t="n">
        <v>195</v>
      </c>
      <c r="B199" s="6" t="s">
        <v>1321</v>
      </c>
      <c r="C199" s="21"/>
      <c r="D199" s="21" t="n">
        <v>9</v>
      </c>
      <c r="E199" s="6" t="s">
        <v>1301</v>
      </c>
      <c r="V199" s="6" t="s">
        <v>1322</v>
      </c>
      <c r="W199" s="21" t="n">
        <v>0.1579268024</v>
      </c>
    </row>
    <row r="200" customFormat="false" ht="15" hidden="false" customHeight="false" outlineLevel="0" collapsed="false">
      <c r="A200" s="21" t="n">
        <v>196</v>
      </c>
      <c r="B200" s="6" t="s">
        <v>1323</v>
      </c>
      <c r="C200" s="21"/>
      <c r="D200" s="21" t="n">
        <v>10</v>
      </c>
      <c r="E200" s="6" t="s">
        <v>1301</v>
      </c>
      <c r="V200" s="6" t="s">
        <v>1324</v>
      </c>
      <c r="W200" s="21" t="n">
        <v>0.206667735</v>
      </c>
    </row>
    <row r="201" customFormat="false" ht="15" hidden="false" customHeight="false" outlineLevel="0" collapsed="false">
      <c r="A201" s="21" t="n">
        <v>197</v>
      </c>
      <c r="B201" s="6" t="s">
        <v>1325</v>
      </c>
      <c r="C201" s="21"/>
      <c r="D201" s="21" t="n">
        <v>3</v>
      </c>
      <c r="E201" s="6" t="s">
        <v>1301</v>
      </c>
      <c r="V201" s="6" t="s">
        <v>1326</v>
      </c>
      <c r="W201" s="21" t="n">
        <v>0.1654314024</v>
      </c>
    </row>
    <row r="202" customFormat="false" ht="15" hidden="false" customHeight="false" outlineLevel="0" collapsed="false">
      <c r="A202" s="21" t="n">
        <v>198</v>
      </c>
      <c r="B202" s="6" t="s">
        <v>1327</v>
      </c>
      <c r="C202" s="21"/>
      <c r="D202" s="21" t="n">
        <v>10</v>
      </c>
      <c r="E202" s="6" t="s">
        <v>1301</v>
      </c>
      <c r="V202" s="6" t="s">
        <v>1328</v>
      </c>
      <c r="W202" s="21" t="n">
        <v>0.216637235</v>
      </c>
    </row>
    <row r="203" customFormat="false" ht="15" hidden="false" customHeight="false" outlineLevel="0" collapsed="false">
      <c r="A203" s="21" t="n">
        <v>199</v>
      </c>
      <c r="B203" s="6" t="s">
        <v>1329</v>
      </c>
      <c r="C203" s="21"/>
      <c r="D203" s="21" t="n">
        <v>18</v>
      </c>
      <c r="E203" s="6" t="s">
        <v>1301</v>
      </c>
      <c r="V203" s="6" t="s">
        <v>1330</v>
      </c>
      <c r="W203" s="21" t="n">
        <v>0.226606735</v>
      </c>
    </row>
    <row r="204" customFormat="false" ht="15" hidden="false" customHeight="false" outlineLevel="0" collapsed="false">
      <c r="A204" s="21" t="n">
        <v>200</v>
      </c>
      <c r="B204" s="6" t="s">
        <v>1331</v>
      </c>
      <c r="C204" s="21"/>
      <c r="D204" s="21" t="n">
        <v>12</v>
      </c>
      <c r="E204" s="6" t="s">
        <v>1301</v>
      </c>
      <c r="V204" s="6" t="s">
        <v>1332</v>
      </c>
      <c r="W204" s="21" t="n">
        <v>0.00532544</v>
      </c>
    </row>
    <row r="205" customFormat="false" ht="15" hidden="false" customHeight="false" outlineLevel="0" collapsed="false">
      <c r="A205" s="21" t="n">
        <v>201</v>
      </c>
      <c r="B205" s="6" t="s">
        <v>1333</v>
      </c>
      <c r="C205" s="21"/>
      <c r="D205" s="21" t="n">
        <v>8</v>
      </c>
      <c r="E205" s="6" t="s">
        <v>1301</v>
      </c>
      <c r="V205" s="6" t="s">
        <v>1334</v>
      </c>
      <c r="W205" s="21" t="n">
        <v>0.00596286</v>
      </c>
    </row>
    <row r="206" customFormat="false" ht="15" hidden="false" customHeight="false" outlineLevel="0" collapsed="false">
      <c r="A206" s="21" t="n">
        <v>202</v>
      </c>
      <c r="B206" s="6" t="s">
        <v>1335</v>
      </c>
      <c r="C206" s="21"/>
      <c r="D206" s="21" t="n">
        <v>9</v>
      </c>
      <c r="E206" s="6" t="s">
        <v>1301</v>
      </c>
      <c r="V206" s="6" t="s">
        <v>1336</v>
      </c>
      <c r="W206" s="21" t="n">
        <v>0.00721886</v>
      </c>
    </row>
    <row r="207" customFormat="false" ht="15" hidden="false" customHeight="false" outlineLevel="0" collapsed="false">
      <c r="A207" s="21" t="n">
        <v>203</v>
      </c>
      <c r="B207" s="6" t="s">
        <v>1337</v>
      </c>
      <c r="C207" s="21"/>
      <c r="D207" s="21" t="n">
        <v>13</v>
      </c>
      <c r="E207" s="6" t="s">
        <v>1301</v>
      </c>
      <c r="V207" s="6" t="s">
        <v>1338</v>
      </c>
      <c r="W207" s="21" t="n">
        <v>0.00783744</v>
      </c>
    </row>
    <row r="208" customFormat="false" ht="15" hidden="false" customHeight="false" outlineLevel="0" collapsed="false">
      <c r="A208" s="21" t="n">
        <v>204</v>
      </c>
      <c r="B208" s="6" t="s">
        <v>1339</v>
      </c>
      <c r="C208" s="21"/>
      <c r="D208" s="21" t="n">
        <v>8.5</v>
      </c>
      <c r="E208" s="6" t="s">
        <v>1301</v>
      </c>
      <c r="V208" s="6" t="s">
        <v>1340</v>
      </c>
      <c r="W208" s="21" t="n">
        <v>0.00905576</v>
      </c>
    </row>
    <row r="209" customFormat="false" ht="15" hidden="false" customHeight="false" outlineLevel="0" collapsed="false">
      <c r="A209" s="21" t="n">
        <v>205</v>
      </c>
      <c r="B209" s="6" t="s">
        <v>1341</v>
      </c>
      <c r="C209" s="21"/>
      <c r="D209" s="21" t="n">
        <v>12</v>
      </c>
      <c r="E209" s="6" t="s">
        <v>1301</v>
      </c>
      <c r="V209" s="6" t="s">
        <v>1342</v>
      </c>
      <c r="W209" s="21" t="n">
        <v>0.01024896</v>
      </c>
    </row>
    <row r="210" customFormat="false" ht="15" hidden="false" customHeight="false" outlineLevel="0" collapsed="false">
      <c r="A210" s="21" t="n">
        <v>206</v>
      </c>
      <c r="B210" s="6" t="s">
        <v>1343</v>
      </c>
      <c r="C210" s="21"/>
      <c r="D210" s="21" t="n">
        <v>32</v>
      </c>
      <c r="E210" s="6" t="s">
        <v>1301</v>
      </c>
      <c r="V210" s="6" t="s">
        <v>1344</v>
      </c>
      <c r="W210" s="21" t="n">
        <v>0.01256</v>
      </c>
    </row>
    <row r="211" customFormat="false" ht="15" hidden="false" customHeight="false" outlineLevel="0" collapsed="false">
      <c r="A211" s="21" t="n">
        <v>207</v>
      </c>
      <c r="B211" s="6" t="s">
        <v>1345</v>
      </c>
      <c r="C211" s="21"/>
      <c r="D211" s="21" t="n">
        <v>30</v>
      </c>
      <c r="E211" s="6" t="s">
        <v>1301</v>
      </c>
      <c r="V211" s="6" t="s">
        <v>1346</v>
      </c>
      <c r="W211" s="21" t="n">
        <v>0.00369264</v>
      </c>
    </row>
    <row r="212" customFormat="false" ht="15" hidden="false" customHeight="false" outlineLevel="0" collapsed="false">
      <c r="A212" s="21" t="n">
        <v>208</v>
      </c>
      <c r="B212" s="6" t="s">
        <v>1347</v>
      </c>
      <c r="C212" s="21"/>
      <c r="D212" s="21" t="n">
        <v>11.5</v>
      </c>
      <c r="E212" s="6" t="s">
        <v>1301</v>
      </c>
      <c r="V212" s="6" t="s">
        <v>1348</v>
      </c>
      <c r="W212" s="21" t="n">
        <v>0.00419504</v>
      </c>
    </row>
    <row r="213" customFormat="false" ht="15" hidden="false" customHeight="false" outlineLevel="0" collapsed="false">
      <c r="A213" s="21" t="n">
        <v>209</v>
      </c>
      <c r="B213" s="6" t="s">
        <v>1349</v>
      </c>
      <c r="C213" s="21"/>
      <c r="D213" s="21" t="n">
        <v>11</v>
      </c>
      <c r="E213" s="6" t="s">
        <v>1301</v>
      </c>
      <c r="V213" s="6" t="s">
        <v>1350</v>
      </c>
      <c r="W213" s="21" t="n">
        <v>0.00469116</v>
      </c>
    </row>
    <row r="214" customFormat="false" ht="15" hidden="false" customHeight="false" outlineLevel="0" collapsed="false">
      <c r="A214" s="21" t="n">
        <v>210</v>
      </c>
      <c r="B214" s="6" t="s">
        <v>1351</v>
      </c>
      <c r="C214" s="21"/>
      <c r="D214" s="21" t="n">
        <v>15</v>
      </c>
      <c r="E214" s="6" t="s">
        <v>1301</v>
      </c>
      <c r="V214" s="6" t="s">
        <v>1352</v>
      </c>
      <c r="W214" s="21" t="n">
        <v>0.00566456</v>
      </c>
    </row>
    <row r="215" customFormat="false" ht="15" hidden="false" customHeight="false" outlineLevel="0" collapsed="false">
      <c r="A215" s="21" t="n">
        <v>211</v>
      </c>
      <c r="B215" s="6" t="s">
        <v>1353</v>
      </c>
      <c r="C215" s="21"/>
      <c r="D215" s="21" t="n">
        <v>9</v>
      </c>
      <c r="E215" s="6" t="s">
        <v>1301</v>
      </c>
      <c r="V215" s="6" t="s">
        <v>1354</v>
      </c>
      <c r="W215" s="21" t="n">
        <v>0.00614184</v>
      </c>
    </row>
    <row r="216" customFormat="false" ht="15" hidden="false" customHeight="false" outlineLevel="0" collapsed="false">
      <c r="A216" s="21" t="n">
        <v>212</v>
      </c>
      <c r="B216" s="6" t="s">
        <v>1355</v>
      </c>
      <c r="C216" s="21"/>
      <c r="D216" s="21" t="n">
        <v>9</v>
      </c>
      <c r="E216" s="6" t="s">
        <v>1301</v>
      </c>
      <c r="V216" s="6" t="s">
        <v>1356</v>
      </c>
      <c r="W216" s="21" t="n">
        <v>0.00798816</v>
      </c>
    </row>
    <row r="217" customFormat="false" ht="15" hidden="false" customHeight="false" outlineLevel="0" collapsed="false">
      <c r="A217" s="21" t="n">
        <v>213</v>
      </c>
      <c r="B217" s="6" t="s">
        <v>1357</v>
      </c>
      <c r="C217" s="21"/>
      <c r="D217" s="21" t="n">
        <v>27</v>
      </c>
      <c r="E217" s="6" t="s">
        <v>1301</v>
      </c>
      <c r="V217" s="6" t="s">
        <v>1358</v>
      </c>
      <c r="W217" s="21" t="n">
        <v>0.009734</v>
      </c>
    </row>
    <row r="218" customFormat="false" ht="15" hidden="false" customHeight="false" outlineLevel="0" collapsed="false">
      <c r="A218" s="21" t="n">
        <v>214</v>
      </c>
      <c r="B218" s="6" t="s">
        <v>1359</v>
      </c>
      <c r="C218" s="21"/>
      <c r="D218" s="21" t="n">
        <v>17.5</v>
      </c>
      <c r="E218" s="6" t="s">
        <v>1301</v>
      </c>
      <c r="V218" s="6" t="s">
        <v>1360</v>
      </c>
      <c r="W218" s="21" t="n">
        <v>0.00482304</v>
      </c>
    </row>
    <row r="219" customFormat="false" ht="15" hidden="false" customHeight="false" outlineLevel="0" collapsed="false">
      <c r="A219" s="21" t="n">
        <v>215</v>
      </c>
      <c r="B219" s="6" t="s">
        <v>1361</v>
      </c>
      <c r="C219" s="21"/>
      <c r="D219" s="21" t="n">
        <v>9</v>
      </c>
      <c r="E219" s="6" t="s">
        <v>1301</v>
      </c>
      <c r="V219" s="6" t="s">
        <v>1362</v>
      </c>
      <c r="W219" s="21" t="n">
        <v>0.00539766</v>
      </c>
    </row>
    <row r="220" customFormat="false" ht="15" hidden="false" customHeight="false" outlineLevel="0" collapsed="false">
      <c r="A220" s="21" t="n">
        <v>216</v>
      </c>
      <c r="B220" s="6" t="s">
        <v>1363</v>
      </c>
      <c r="C220" s="21"/>
      <c r="D220" s="21" t="n">
        <v>11</v>
      </c>
      <c r="E220" s="6" t="s">
        <v>1301</v>
      </c>
      <c r="V220" s="6" t="s">
        <v>1364</v>
      </c>
      <c r="W220" s="21" t="n">
        <v>0.00652806</v>
      </c>
    </row>
    <row r="221" customFormat="false" ht="15" hidden="false" customHeight="false" outlineLevel="0" collapsed="false">
      <c r="A221" s="21" t="n">
        <v>217</v>
      </c>
      <c r="B221" s="6" t="s">
        <v>1365</v>
      </c>
      <c r="C221" s="21"/>
      <c r="D221" s="21" t="n">
        <v>11</v>
      </c>
      <c r="E221" s="6" t="s">
        <v>1301</v>
      </c>
      <c r="V221" s="6" t="s">
        <v>1366</v>
      </c>
      <c r="W221" s="21" t="n">
        <v>0.00708384</v>
      </c>
    </row>
    <row r="222" customFormat="false" ht="15" hidden="false" customHeight="false" outlineLevel="0" collapsed="false">
      <c r="A222" s="21" t="n">
        <v>218</v>
      </c>
      <c r="B222" s="6" t="s">
        <v>1367</v>
      </c>
      <c r="C222" s="21"/>
      <c r="D222" s="21" t="n">
        <v>12</v>
      </c>
      <c r="E222" s="6" t="s">
        <v>1301</v>
      </c>
      <c r="V222" s="6" t="s">
        <v>1368</v>
      </c>
      <c r="W222" s="21" t="n">
        <v>0.00924416</v>
      </c>
    </row>
    <row r="223" customFormat="false" ht="15" hidden="false" customHeight="false" outlineLevel="0" collapsed="false">
      <c r="A223" s="21" t="n">
        <v>219</v>
      </c>
      <c r="B223" s="6" t="s">
        <v>1369</v>
      </c>
      <c r="C223" s="21"/>
      <c r="D223" s="21" t="n">
        <v>22</v>
      </c>
      <c r="E223" s="6" t="s">
        <v>1301</v>
      </c>
      <c r="V223" s="6" t="s">
        <v>1370</v>
      </c>
      <c r="W223" s="21" t="n">
        <v>0.011304</v>
      </c>
    </row>
    <row r="224" customFormat="false" ht="15" hidden="false" customHeight="false" outlineLevel="0" collapsed="false">
      <c r="A224" s="21" t="n">
        <v>220</v>
      </c>
      <c r="B224" s="6" t="s">
        <v>1371</v>
      </c>
      <c r="C224" s="21"/>
      <c r="D224" s="21" t="n">
        <v>8</v>
      </c>
      <c r="E224" s="6" t="s">
        <v>1301</v>
      </c>
      <c r="V224" s="6" t="s">
        <v>1372</v>
      </c>
      <c r="W224" s="21" t="n">
        <v>0.00545104</v>
      </c>
    </row>
    <row r="225" customFormat="false" ht="15" hidden="false" customHeight="false" outlineLevel="0" collapsed="false">
      <c r="A225" s="21" t="n">
        <v>221</v>
      </c>
      <c r="B225" s="6" t="s">
        <v>786</v>
      </c>
      <c r="C225" s="21"/>
      <c r="D225" s="21" t="n">
        <v>78.5</v>
      </c>
      <c r="E225" s="6" t="s">
        <v>1373</v>
      </c>
      <c r="V225" s="6" t="s">
        <v>1374</v>
      </c>
      <c r="W225" s="21" t="n">
        <v>0.00610416</v>
      </c>
    </row>
    <row r="226" customFormat="false" ht="15" hidden="false" customHeight="false" outlineLevel="0" collapsed="false">
      <c r="A226" s="21" t="n">
        <v>222</v>
      </c>
      <c r="B226" s="6" t="s">
        <v>1375</v>
      </c>
      <c r="C226" s="21"/>
      <c r="D226" s="21" t="n">
        <v>77</v>
      </c>
      <c r="E226" s="6" t="s">
        <v>1373</v>
      </c>
      <c r="V226" s="6" t="s">
        <v>1376</v>
      </c>
      <c r="W226" s="21" t="n">
        <v>0.00739156</v>
      </c>
    </row>
    <row r="227" customFormat="false" ht="15" hidden="false" customHeight="false" outlineLevel="0" collapsed="false">
      <c r="A227" s="21" t="n">
        <v>223</v>
      </c>
      <c r="B227" s="6" t="s">
        <v>1377</v>
      </c>
      <c r="C227" s="21"/>
      <c r="D227" s="21" t="n">
        <v>82</v>
      </c>
      <c r="E227" s="6" t="s">
        <v>1373</v>
      </c>
      <c r="V227" s="6" t="s">
        <v>1378</v>
      </c>
      <c r="W227" s="21" t="n">
        <v>0.00802584</v>
      </c>
    </row>
    <row r="228" customFormat="false" ht="15" hidden="false" customHeight="false" outlineLevel="0" collapsed="false">
      <c r="A228" s="21" t="n">
        <v>224</v>
      </c>
      <c r="B228" s="6" t="s">
        <v>1379</v>
      </c>
      <c r="C228" s="21"/>
      <c r="D228" s="21" t="n">
        <v>27</v>
      </c>
      <c r="E228" s="6" t="s">
        <v>1373</v>
      </c>
      <c r="V228" s="6" t="s">
        <v>1380</v>
      </c>
      <c r="W228" s="21" t="n">
        <v>0.01050016</v>
      </c>
    </row>
    <row r="229" customFormat="false" ht="15" hidden="false" customHeight="false" outlineLevel="0" collapsed="false">
      <c r="A229" s="21" t="n">
        <v>225</v>
      </c>
      <c r="B229" s="6" t="s">
        <v>1381</v>
      </c>
      <c r="C229" s="21"/>
      <c r="D229" s="21" t="n">
        <v>86</v>
      </c>
      <c r="E229" s="6" t="s">
        <v>1373</v>
      </c>
      <c r="V229" s="6" t="s">
        <v>1382</v>
      </c>
      <c r="W229" s="21" t="n">
        <v>0.012874</v>
      </c>
    </row>
    <row r="230" customFormat="false" ht="15" hidden="false" customHeight="false" outlineLevel="0" collapsed="false">
      <c r="A230" s="21" t="n">
        <v>226</v>
      </c>
      <c r="B230" s="6" t="s">
        <v>1383</v>
      </c>
      <c r="C230" s="21"/>
      <c r="D230" s="21" t="n">
        <v>89</v>
      </c>
      <c r="E230" s="6" t="s">
        <v>1373</v>
      </c>
      <c r="V230" s="6" t="s">
        <v>1384</v>
      </c>
      <c r="W230" s="21" t="n">
        <v>0.02034406</v>
      </c>
    </row>
    <row r="231" customFormat="false" ht="15" hidden="false" customHeight="false" outlineLevel="0" collapsed="false">
      <c r="A231" s="21" t="n">
        <v>227</v>
      </c>
      <c r="B231" s="6" t="s">
        <v>1385</v>
      </c>
      <c r="C231" s="21"/>
      <c r="D231" s="21" t="n">
        <v>74</v>
      </c>
      <c r="E231" s="6" t="s">
        <v>1373</v>
      </c>
      <c r="V231" s="6" t="s">
        <v>1386</v>
      </c>
      <c r="W231" s="21" t="n">
        <v>0.02215584</v>
      </c>
    </row>
    <row r="232" customFormat="false" ht="15" hidden="false" customHeight="false" outlineLevel="0" collapsed="false">
      <c r="A232" s="21" t="n">
        <v>228</v>
      </c>
      <c r="B232" s="6" t="s">
        <v>1387</v>
      </c>
      <c r="C232" s="21"/>
      <c r="D232" s="21" t="n">
        <v>71</v>
      </c>
      <c r="E232" s="6" t="s">
        <v>1373</v>
      </c>
      <c r="V232" s="6" t="s">
        <v>1388</v>
      </c>
      <c r="W232" s="21" t="n">
        <v>0.02934016</v>
      </c>
    </row>
    <row r="233" customFormat="false" ht="15" hidden="false" customHeight="false" outlineLevel="0" collapsed="false">
      <c r="A233" s="21" t="n">
        <v>229</v>
      </c>
      <c r="B233" s="6" t="s">
        <v>1389</v>
      </c>
      <c r="C233" s="21"/>
      <c r="D233" s="21" t="n">
        <v>76</v>
      </c>
      <c r="E233" s="6" t="s">
        <v>1373</v>
      </c>
      <c r="V233" s="6" t="s">
        <v>1390</v>
      </c>
      <c r="W233" s="21" t="n">
        <v>0.036424</v>
      </c>
    </row>
    <row r="234" customFormat="false" ht="15" hidden="false" customHeight="false" outlineLevel="0" collapsed="false">
      <c r="A234" s="21" t="n">
        <v>230</v>
      </c>
      <c r="B234" s="6" t="s">
        <v>1391</v>
      </c>
      <c r="C234" s="21"/>
      <c r="D234" s="21" t="n">
        <v>86</v>
      </c>
      <c r="E234" s="6" t="s">
        <v>1373</v>
      </c>
      <c r="V234" s="6" t="s">
        <v>1392</v>
      </c>
      <c r="W234" s="21" t="n">
        <v>0.05707264</v>
      </c>
    </row>
    <row r="235" customFormat="false" ht="15" hidden="false" customHeight="false" outlineLevel="0" collapsed="false">
      <c r="A235" s="21" t="n">
        <v>231</v>
      </c>
      <c r="B235" s="6" t="s">
        <v>1393</v>
      </c>
      <c r="C235" s="21"/>
      <c r="D235" s="21" t="n">
        <v>18.5</v>
      </c>
      <c r="E235" s="6" t="s">
        <v>1373</v>
      </c>
      <c r="V235" s="6" t="s">
        <v>1394</v>
      </c>
      <c r="W235" s="21" t="n">
        <v>0.00607904</v>
      </c>
    </row>
    <row r="236" customFormat="false" ht="15" hidden="false" customHeight="false" outlineLevel="0" collapsed="false">
      <c r="A236" s="21" t="n">
        <v>232</v>
      </c>
      <c r="B236" s="6" t="s">
        <v>1395</v>
      </c>
      <c r="C236" s="21"/>
      <c r="D236" s="21" t="n">
        <v>89</v>
      </c>
      <c r="E236" s="6" t="s">
        <v>1373</v>
      </c>
      <c r="V236" s="6" t="s">
        <v>1396</v>
      </c>
      <c r="W236" s="21" t="n">
        <v>0.00681066</v>
      </c>
    </row>
    <row r="237" customFormat="false" ht="15" hidden="false" customHeight="false" outlineLevel="0" collapsed="false">
      <c r="A237" s="21" t="n">
        <v>233</v>
      </c>
      <c r="B237" s="6" t="s">
        <v>1397</v>
      </c>
      <c r="C237" s="21"/>
      <c r="D237" s="21" t="n">
        <v>106</v>
      </c>
      <c r="E237" s="6" t="s">
        <v>1373</v>
      </c>
      <c r="V237" s="6" t="s">
        <v>1398</v>
      </c>
      <c r="W237" s="21" t="n">
        <v>0.00825506</v>
      </c>
    </row>
    <row r="238" customFormat="false" ht="15" hidden="false" customHeight="false" outlineLevel="0" collapsed="false">
      <c r="A238" s="21" t="n">
        <v>234</v>
      </c>
      <c r="B238" s="6" t="s">
        <v>1399</v>
      </c>
      <c r="C238" s="21"/>
      <c r="D238" s="21" t="n">
        <v>114</v>
      </c>
      <c r="E238" s="6" t="s">
        <v>1373</v>
      </c>
      <c r="V238" s="6" t="s">
        <v>1400</v>
      </c>
      <c r="W238" s="21" t="n">
        <v>0.00896783999999999</v>
      </c>
    </row>
    <row r="239" customFormat="false" ht="15" hidden="false" customHeight="false" outlineLevel="0" collapsed="false">
      <c r="A239" s="21" t="n">
        <v>235</v>
      </c>
      <c r="B239" s="6" t="s">
        <v>1401</v>
      </c>
      <c r="C239" s="21"/>
      <c r="D239" s="21" t="n">
        <v>72</v>
      </c>
      <c r="E239" s="6" t="s">
        <v>1373</v>
      </c>
      <c r="V239" s="6" t="s">
        <v>1402</v>
      </c>
      <c r="W239" s="21" t="n">
        <v>0.01175616</v>
      </c>
    </row>
    <row r="240" customFormat="false" ht="23.85" hidden="false" customHeight="false" outlineLevel="0" collapsed="false">
      <c r="A240" s="21" t="n">
        <v>236</v>
      </c>
      <c r="B240" s="6" t="s">
        <v>1403</v>
      </c>
      <c r="C240" s="21"/>
      <c r="D240" s="21" t="n">
        <v>1.5</v>
      </c>
      <c r="E240" s="6" t="s">
        <v>1404</v>
      </c>
      <c r="V240" s="6" t="s">
        <v>1405</v>
      </c>
      <c r="W240" s="21" t="n">
        <v>0.014444</v>
      </c>
    </row>
    <row r="241" customFormat="false" ht="23.85" hidden="false" customHeight="false" outlineLevel="0" collapsed="false">
      <c r="A241" s="21" t="n">
        <v>237</v>
      </c>
      <c r="B241" s="6" t="s">
        <v>1406</v>
      </c>
      <c r="C241" s="21"/>
      <c r="D241" s="21" t="n">
        <v>14</v>
      </c>
      <c r="E241" s="6" t="s">
        <v>1404</v>
      </c>
      <c r="V241" s="6" t="s">
        <v>1407</v>
      </c>
      <c r="W241" s="21" t="n">
        <v>0.00733504</v>
      </c>
    </row>
    <row r="242" customFormat="false" ht="23.85" hidden="false" customHeight="false" outlineLevel="0" collapsed="false">
      <c r="A242" s="21" t="n">
        <v>238</v>
      </c>
      <c r="B242" s="6" t="s">
        <v>1408</v>
      </c>
      <c r="C242" s="21"/>
      <c r="D242" s="21" t="n">
        <v>7.5</v>
      </c>
      <c r="E242" s="6" t="s">
        <v>1404</v>
      </c>
      <c r="V242" s="6" t="s">
        <v>1409</v>
      </c>
      <c r="W242" s="21" t="n">
        <v>0.00822366</v>
      </c>
    </row>
    <row r="243" customFormat="false" ht="23.85" hidden="false" customHeight="false" outlineLevel="0" collapsed="false">
      <c r="A243" s="21" t="n">
        <v>239</v>
      </c>
      <c r="B243" s="6" t="s">
        <v>1410</v>
      </c>
      <c r="C243" s="21"/>
      <c r="D243" s="21" t="n">
        <v>6</v>
      </c>
      <c r="E243" s="6" t="s">
        <v>1404</v>
      </c>
      <c r="V243" s="6" t="s">
        <v>1411</v>
      </c>
      <c r="W243" s="21" t="n">
        <v>0.00998206</v>
      </c>
    </row>
    <row r="244" customFormat="false" ht="23.85" hidden="false" customHeight="false" outlineLevel="0" collapsed="false">
      <c r="A244" s="21" t="n">
        <v>240</v>
      </c>
      <c r="B244" s="6" t="s">
        <v>1412</v>
      </c>
      <c r="C244" s="21"/>
      <c r="D244" s="21" t="n">
        <v>8</v>
      </c>
      <c r="E244" s="6" t="s">
        <v>1404</v>
      </c>
      <c r="V244" s="6" t="s">
        <v>1413</v>
      </c>
      <c r="W244" s="21" t="n">
        <v>0.01085184</v>
      </c>
    </row>
    <row r="245" customFormat="false" ht="23.85" hidden="false" customHeight="false" outlineLevel="0" collapsed="false">
      <c r="A245" s="21" t="n">
        <v>241</v>
      </c>
      <c r="B245" s="6" t="s">
        <v>1414</v>
      </c>
      <c r="C245" s="21"/>
      <c r="D245" s="21" t="n">
        <v>5</v>
      </c>
      <c r="E245" s="6" t="s">
        <v>1404</v>
      </c>
      <c r="V245" s="6" t="s">
        <v>1415</v>
      </c>
      <c r="W245" s="21" t="n">
        <v>0.01426816</v>
      </c>
    </row>
    <row r="246" customFormat="false" ht="23.85" hidden="false" customHeight="false" outlineLevel="0" collapsed="false">
      <c r="A246" s="21" t="n">
        <v>242</v>
      </c>
      <c r="B246" s="6" t="s">
        <v>1416</v>
      </c>
      <c r="C246" s="21"/>
      <c r="D246" s="21" t="n">
        <v>9.5</v>
      </c>
      <c r="E246" s="6" t="s">
        <v>1404</v>
      </c>
      <c r="V246" s="6" t="s">
        <v>1417</v>
      </c>
      <c r="W246" s="21" t="n">
        <v>0.017584</v>
      </c>
    </row>
    <row r="247" customFormat="false" ht="23.85" hidden="false" customHeight="false" outlineLevel="0" collapsed="false">
      <c r="A247" s="21" t="n">
        <v>243</v>
      </c>
      <c r="B247" s="6" t="s">
        <v>1418</v>
      </c>
      <c r="C247" s="21"/>
      <c r="D247" s="21" t="n">
        <v>16</v>
      </c>
      <c r="E247" s="6" t="s">
        <v>1404</v>
      </c>
      <c r="V247" s="6" t="s">
        <v>1419</v>
      </c>
      <c r="W247" s="21" t="n">
        <v>0.00859104000000001</v>
      </c>
    </row>
    <row r="248" customFormat="false" ht="23.85" hidden="false" customHeight="false" outlineLevel="0" collapsed="false">
      <c r="A248" s="21" t="n">
        <v>244</v>
      </c>
      <c r="B248" s="6" t="s">
        <v>1420</v>
      </c>
      <c r="C248" s="21"/>
      <c r="D248" s="21" t="n">
        <v>7</v>
      </c>
      <c r="E248" s="6" t="s">
        <v>1404</v>
      </c>
      <c r="V248" s="6" t="s">
        <v>1421</v>
      </c>
      <c r="W248" s="21" t="n">
        <v>0.00963666</v>
      </c>
    </row>
    <row r="249" customFormat="false" ht="23.85" hidden="false" customHeight="false" outlineLevel="0" collapsed="false">
      <c r="A249" s="21" t="n">
        <v>245</v>
      </c>
      <c r="B249" s="6" t="s">
        <v>1422</v>
      </c>
      <c r="C249" s="21"/>
      <c r="D249" s="21" t="n">
        <v>6.5</v>
      </c>
      <c r="E249" s="6" t="s">
        <v>1404</v>
      </c>
      <c r="V249" s="6" t="s">
        <v>1423</v>
      </c>
      <c r="W249" s="21" t="n">
        <v>0.01170906</v>
      </c>
    </row>
    <row r="250" customFormat="false" ht="23.85" hidden="false" customHeight="false" outlineLevel="0" collapsed="false">
      <c r="A250" s="21" t="n">
        <v>246</v>
      </c>
      <c r="B250" s="6" t="s">
        <v>1424</v>
      </c>
      <c r="C250" s="21"/>
      <c r="D250" s="21" t="n">
        <v>6</v>
      </c>
      <c r="E250" s="6" t="s">
        <v>1404</v>
      </c>
      <c r="V250" s="6" t="s">
        <v>1425</v>
      </c>
      <c r="W250" s="21" t="n">
        <v>0.01273584</v>
      </c>
    </row>
    <row r="251" customFormat="false" ht="23.85" hidden="false" customHeight="false" outlineLevel="0" collapsed="false">
      <c r="A251" s="21" t="n">
        <v>247</v>
      </c>
      <c r="B251" s="6" t="s">
        <v>1426</v>
      </c>
      <c r="C251" s="21"/>
      <c r="D251" s="21" t="n">
        <v>7</v>
      </c>
      <c r="E251" s="6" t="s">
        <v>1404</v>
      </c>
      <c r="V251" s="6" t="s">
        <v>1427</v>
      </c>
      <c r="W251" s="21" t="n">
        <v>0.01678016</v>
      </c>
    </row>
    <row r="252" customFormat="false" ht="23.85" hidden="false" customHeight="false" outlineLevel="0" collapsed="false">
      <c r="A252" s="21" t="n">
        <v>248</v>
      </c>
      <c r="B252" s="6" t="s">
        <v>1428</v>
      </c>
      <c r="C252" s="21"/>
      <c r="D252" s="21" t="n">
        <v>6</v>
      </c>
      <c r="E252" s="6" t="s">
        <v>1404</v>
      </c>
      <c r="V252" s="6" t="s">
        <v>1429</v>
      </c>
      <c r="W252" s="21" t="n">
        <v>0.020724</v>
      </c>
    </row>
    <row r="253" customFormat="false" ht="23.85" hidden="false" customHeight="false" outlineLevel="0" collapsed="false">
      <c r="A253" s="21" t="n">
        <v>249</v>
      </c>
      <c r="B253" s="6" t="s">
        <v>1430</v>
      </c>
      <c r="C253" s="21"/>
      <c r="D253" s="21" t="n">
        <v>3.2</v>
      </c>
      <c r="E253" s="6" t="s">
        <v>1404</v>
      </c>
      <c r="V253" s="6" t="s">
        <v>1431</v>
      </c>
      <c r="W253" s="21" t="n">
        <v>0.00984704000000001</v>
      </c>
    </row>
    <row r="254" customFormat="false" ht="23.85" hidden="false" customHeight="false" outlineLevel="0" collapsed="false">
      <c r="A254" s="21" t="n">
        <v>250</v>
      </c>
      <c r="B254" s="6" t="s">
        <v>1432</v>
      </c>
      <c r="C254" s="21"/>
      <c r="D254" s="21" t="n">
        <v>5</v>
      </c>
      <c r="E254" s="6" t="s">
        <v>1404</v>
      </c>
      <c r="V254" s="6" t="s">
        <v>1433</v>
      </c>
      <c r="W254" s="21" t="n">
        <v>0.01104966</v>
      </c>
    </row>
    <row r="255" customFormat="false" ht="23.85" hidden="false" customHeight="false" outlineLevel="0" collapsed="false">
      <c r="A255" s="21" t="n">
        <v>251</v>
      </c>
      <c r="B255" s="6" t="s">
        <v>1434</v>
      </c>
      <c r="C255" s="21"/>
      <c r="D255" s="21" t="n">
        <v>4.5</v>
      </c>
      <c r="E255" s="6" t="s">
        <v>1404</v>
      </c>
      <c r="V255" s="6" t="s">
        <v>1435</v>
      </c>
      <c r="W255" s="21" t="n">
        <v>0.01343606</v>
      </c>
    </row>
    <row r="256" customFormat="false" ht="23.85" hidden="false" customHeight="false" outlineLevel="0" collapsed="false">
      <c r="A256" s="21" t="n">
        <v>252</v>
      </c>
      <c r="B256" s="6" t="s">
        <v>1436</v>
      </c>
      <c r="C256" s="21"/>
      <c r="D256" s="21" t="n">
        <v>6.5</v>
      </c>
      <c r="E256" s="6" t="s">
        <v>1404</v>
      </c>
      <c r="V256" s="6" t="s">
        <v>1437</v>
      </c>
      <c r="W256" s="21" t="n">
        <v>0.01461984</v>
      </c>
    </row>
    <row r="257" customFormat="false" ht="23.85" hidden="false" customHeight="false" outlineLevel="0" collapsed="false">
      <c r="A257" s="21" t="n">
        <v>253</v>
      </c>
      <c r="B257" s="6" t="s">
        <v>1438</v>
      </c>
      <c r="C257" s="21"/>
      <c r="D257" s="21" t="n">
        <v>5.5</v>
      </c>
      <c r="E257" s="6" t="s">
        <v>1404</v>
      </c>
      <c r="V257" s="6" t="s">
        <v>1439</v>
      </c>
      <c r="W257" s="21" t="n">
        <v>0.01929216</v>
      </c>
    </row>
    <row r="258" customFormat="false" ht="23.85" hidden="false" customHeight="false" outlineLevel="0" collapsed="false">
      <c r="A258" s="21" t="n">
        <v>254</v>
      </c>
      <c r="B258" s="6" t="s">
        <v>1440</v>
      </c>
      <c r="C258" s="21"/>
      <c r="D258" s="21" t="n">
        <v>7</v>
      </c>
      <c r="E258" s="6" t="s">
        <v>1404</v>
      </c>
      <c r="V258" s="6" t="s">
        <v>1441</v>
      </c>
      <c r="W258" s="21" t="n">
        <v>0.023864</v>
      </c>
    </row>
    <row r="259" customFormat="false" ht="23.85" hidden="false" customHeight="false" outlineLevel="0" collapsed="false">
      <c r="A259" s="21" t="n">
        <v>255</v>
      </c>
      <c r="B259" s="6" t="s">
        <v>1442</v>
      </c>
      <c r="C259" s="21"/>
      <c r="D259" s="21" t="n">
        <v>7</v>
      </c>
      <c r="E259" s="6" t="s">
        <v>1404</v>
      </c>
      <c r="V259" s="6" t="s">
        <v>1443</v>
      </c>
      <c r="W259" s="21" t="n">
        <v>0.0294375</v>
      </c>
    </row>
    <row r="260" customFormat="false" ht="23.85" hidden="false" customHeight="false" outlineLevel="0" collapsed="false">
      <c r="A260" s="21" t="n">
        <v>256</v>
      </c>
      <c r="B260" s="6" t="s">
        <v>1444</v>
      </c>
      <c r="C260" s="21"/>
      <c r="D260" s="21" t="n">
        <v>4</v>
      </c>
      <c r="E260" s="6" t="s">
        <v>1404</v>
      </c>
      <c r="V260" s="6" t="s">
        <v>1445</v>
      </c>
      <c r="W260" s="21" t="n">
        <v>0.03697664</v>
      </c>
    </row>
    <row r="261" customFormat="false" ht="23.85" hidden="false" customHeight="false" outlineLevel="0" collapsed="false">
      <c r="A261" s="21" t="n">
        <v>257</v>
      </c>
      <c r="B261" s="6" t="s">
        <v>1446</v>
      </c>
      <c r="C261" s="21"/>
      <c r="D261" s="21" t="n">
        <v>6</v>
      </c>
      <c r="E261" s="6" t="s">
        <v>1404</v>
      </c>
      <c r="V261" s="6" t="s">
        <v>1447</v>
      </c>
      <c r="W261" s="21" t="n">
        <v>0.00796304000000001</v>
      </c>
    </row>
    <row r="262" customFormat="false" ht="23.85" hidden="false" customHeight="false" outlineLevel="0" collapsed="false">
      <c r="A262" s="21" t="n">
        <v>258</v>
      </c>
      <c r="B262" s="6" t="s">
        <v>1448</v>
      </c>
      <c r="C262" s="21"/>
      <c r="D262" s="21" t="n">
        <v>1.7</v>
      </c>
      <c r="E262" s="6" t="s">
        <v>1404</v>
      </c>
      <c r="V262" s="6" t="s">
        <v>1449</v>
      </c>
      <c r="W262" s="21" t="n">
        <v>0.00893016</v>
      </c>
    </row>
    <row r="263" customFormat="false" ht="23.85" hidden="false" customHeight="false" outlineLevel="0" collapsed="false">
      <c r="A263" s="21" t="n">
        <v>259</v>
      </c>
      <c r="B263" s="6" t="s">
        <v>1450</v>
      </c>
      <c r="C263" s="21"/>
      <c r="D263" s="21" t="n">
        <v>1.3</v>
      </c>
      <c r="E263" s="6" t="s">
        <v>1404</v>
      </c>
      <c r="V263" s="6" t="s">
        <v>1451</v>
      </c>
      <c r="W263" s="21" t="n">
        <v>0.01084556</v>
      </c>
    </row>
    <row r="264" customFormat="false" ht="23.85" hidden="false" customHeight="false" outlineLevel="0" collapsed="false">
      <c r="A264" s="21" t="n">
        <v>260</v>
      </c>
      <c r="B264" s="6" t="s">
        <v>1452</v>
      </c>
      <c r="C264" s="21"/>
      <c r="D264" s="21" t="n">
        <v>8</v>
      </c>
      <c r="E264" s="6" t="s">
        <v>1404</v>
      </c>
      <c r="V264" s="6" t="s">
        <v>1453</v>
      </c>
      <c r="W264" s="21" t="n">
        <v>0.01179384</v>
      </c>
    </row>
    <row r="265" customFormat="false" ht="23.85" hidden="false" customHeight="false" outlineLevel="0" collapsed="false">
      <c r="A265" s="21" t="n">
        <v>261</v>
      </c>
      <c r="B265" s="6" t="s">
        <v>1454</v>
      </c>
      <c r="C265" s="21"/>
      <c r="D265" s="21" t="n">
        <v>6.5</v>
      </c>
      <c r="E265" s="6" t="s">
        <v>1404</v>
      </c>
      <c r="V265" s="6" t="s">
        <v>1455</v>
      </c>
      <c r="W265" s="21" t="n">
        <v>0.01552416</v>
      </c>
    </row>
    <row r="266" customFormat="false" ht="23.85" hidden="false" customHeight="false" outlineLevel="0" collapsed="false">
      <c r="A266" s="21" t="n">
        <v>262</v>
      </c>
      <c r="B266" s="6" t="s">
        <v>1456</v>
      </c>
      <c r="C266" s="21"/>
      <c r="D266" s="21" t="n">
        <v>7.5</v>
      </c>
      <c r="E266" s="6" t="s">
        <v>1404</v>
      </c>
      <c r="V266" s="6" t="s">
        <v>1457</v>
      </c>
      <c r="W266" s="21" t="n">
        <v>0.019154</v>
      </c>
    </row>
    <row r="267" customFormat="false" ht="23.85" hidden="false" customHeight="false" outlineLevel="0" collapsed="false">
      <c r="A267" s="21" t="n">
        <v>263</v>
      </c>
      <c r="B267" s="6" t="s">
        <v>1458</v>
      </c>
      <c r="C267" s="21"/>
      <c r="D267" s="21" t="n">
        <v>6.3</v>
      </c>
      <c r="E267" s="6" t="s">
        <v>1404</v>
      </c>
      <c r="V267" s="6" t="s">
        <v>1459</v>
      </c>
      <c r="W267" s="21" t="n">
        <v>0.00921904000000001</v>
      </c>
    </row>
    <row r="268" customFormat="false" ht="23.85" hidden="false" customHeight="false" outlineLevel="0" collapsed="false">
      <c r="A268" s="21" t="n">
        <v>264</v>
      </c>
      <c r="B268" s="6" t="s">
        <v>1460</v>
      </c>
      <c r="C268" s="21"/>
      <c r="D268" s="21" t="n">
        <v>4</v>
      </c>
      <c r="E268" s="6" t="s">
        <v>1404</v>
      </c>
      <c r="V268" s="6" t="s">
        <v>1461</v>
      </c>
      <c r="W268" s="21" t="n">
        <v>0.01034316</v>
      </c>
    </row>
    <row r="269" customFormat="false" ht="23.85" hidden="false" customHeight="false" outlineLevel="0" collapsed="false">
      <c r="A269" s="21" t="n">
        <v>265</v>
      </c>
      <c r="B269" s="6" t="s">
        <v>1462</v>
      </c>
      <c r="C269" s="21"/>
      <c r="D269" s="21" t="n">
        <v>6.5</v>
      </c>
      <c r="E269" s="6" t="s">
        <v>1404</v>
      </c>
      <c r="V269" s="6" t="s">
        <v>1463</v>
      </c>
      <c r="W269" s="21" t="n">
        <v>0.01257256</v>
      </c>
    </row>
    <row r="270" customFormat="false" ht="23.85" hidden="false" customHeight="false" outlineLevel="0" collapsed="false">
      <c r="A270" s="21" t="n">
        <v>266</v>
      </c>
      <c r="B270" s="6" t="s">
        <v>1464</v>
      </c>
      <c r="C270" s="21"/>
      <c r="D270" s="21" t="n">
        <v>8.5</v>
      </c>
      <c r="E270" s="6" t="s">
        <v>1404</v>
      </c>
      <c r="V270" s="6" t="s">
        <v>1465</v>
      </c>
      <c r="W270" s="21" t="n">
        <v>0.01367784</v>
      </c>
    </row>
    <row r="271" customFormat="false" ht="23.85" hidden="false" customHeight="false" outlineLevel="0" collapsed="false">
      <c r="A271" s="21" t="n">
        <v>267</v>
      </c>
      <c r="B271" s="6" t="s">
        <v>1466</v>
      </c>
      <c r="C271" s="21"/>
      <c r="D271" s="21" t="n">
        <v>7.5</v>
      </c>
      <c r="E271" s="6" t="s">
        <v>1404</v>
      </c>
      <c r="V271" s="6" t="s">
        <v>1467</v>
      </c>
      <c r="W271" s="21" t="n">
        <v>0.01803616</v>
      </c>
    </row>
    <row r="272" customFormat="false" ht="23.85" hidden="false" customHeight="false" outlineLevel="0" collapsed="false">
      <c r="A272" s="21" t="n">
        <v>268</v>
      </c>
      <c r="B272" s="6" t="s">
        <v>1468</v>
      </c>
      <c r="C272" s="21"/>
      <c r="D272" s="21" t="n">
        <v>7.5</v>
      </c>
      <c r="E272" s="6" t="s">
        <v>1404</v>
      </c>
      <c r="V272" s="6" t="s">
        <v>1469</v>
      </c>
      <c r="W272" s="21" t="n">
        <v>0.022294</v>
      </c>
    </row>
    <row r="273" customFormat="false" ht="23.85" hidden="false" customHeight="false" outlineLevel="0" collapsed="false">
      <c r="A273" s="21" t="n">
        <v>269</v>
      </c>
      <c r="B273" s="6" t="s">
        <v>1470</v>
      </c>
      <c r="C273" s="21"/>
      <c r="D273" s="21" t="n">
        <v>7.5</v>
      </c>
      <c r="E273" s="6" t="s">
        <v>1404</v>
      </c>
      <c r="V273" s="6" t="s">
        <v>1471</v>
      </c>
      <c r="W273" s="21" t="n">
        <v>0.00959584</v>
      </c>
    </row>
    <row r="274" customFormat="false" ht="23.85" hidden="false" customHeight="false" outlineLevel="0" collapsed="false">
      <c r="A274" s="21" t="n">
        <v>270</v>
      </c>
      <c r="B274" s="6" t="s">
        <v>1472</v>
      </c>
      <c r="C274" s="21"/>
      <c r="D274" s="21" t="n">
        <v>3</v>
      </c>
      <c r="E274" s="6" t="s">
        <v>1404</v>
      </c>
      <c r="V274" s="6" t="s">
        <v>1473</v>
      </c>
      <c r="W274" s="21" t="n">
        <v>0.01076706</v>
      </c>
    </row>
    <row r="275" customFormat="false" ht="23.85" hidden="false" customHeight="false" outlineLevel="0" collapsed="false">
      <c r="A275" s="21" t="n">
        <v>271</v>
      </c>
      <c r="B275" s="6" t="s">
        <v>1474</v>
      </c>
      <c r="C275" s="21"/>
      <c r="D275" s="21" t="n">
        <v>7.5</v>
      </c>
      <c r="E275" s="6" t="s">
        <v>1404</v>
      </c>
      <c r="V275" s="6" t="s">
        <v>1475</v>
      </c>
      <c r="W275" s="21" t="n">
        <v>0.01309066</v>
      </c>
    </row>
    <row r="276" customFormat="false" ht="23.85" hidden="false" customHeight="false" outlineLevel="0" collapsed="false">
      <c r="A276" s="21" t="n">
        <v>272</v>
      </c>
      <c r="B276" s="6" t="s">
        <v>1476</v>
      </c>
      <c r="C276" s="21"/>
      <c r="D276" s="21" t="n">
        <v>5.5</v>
      </c>
      <c r="E276" s="6" t="s">
        <v>1404</v>
      </c>
      <c r="V276" s="6" t="s">
        <v>1477</v>
      </c>
      <c r="W276" s="21" t="n">
        <v>0.01424304</v>
      </c>
    </row>
    <row r="277" customFormat="false" ht="23.85" hidden="false" customHeight="false" outlineLevel="0" collapsed="false">
      <c r="A277" s="21" t="n">
        <v>273</v>
      </c>
      <c r="B277" s="6" t="s">
        <v>1478</v>
      </c>
      <c r="C277" s="21"/>
      <c r="D277" s="21" t="n">
        <v>7</v>
      </c>
      <c r="E277" s="6" t="s">
        <v>1404</v>
      </c>
      <c r="V277" s="6" t="s">
        <v>1479</v>
      </c>
      <c r="W277" s="21" t="n">
        <v>0.01652896</v>
      </c>
    </row>
    <row r="278" customFormat="false" ht="23.85" hidden="false" customHeight="false" outlineLevel="0" collapsed="false">
      <c r="A278" s="21" t="n">
        <v>274</v>
      </c>
      <c r="B278" s="6" t="s">
        <v>1480</v>
      </c>
      <c r="C278" s="21"/>
      <c r="D278" s="21" t="n">
        <v>7.5</v>
      </c>
      <c r="E278" s="6" t="s">
        <v>1404</v>
      </c>
      <c r="V278" s="6" t="s">
        <v>1481</v>
      </c>
      <c r="W278" s="21" t="n">
        <v>0.01878976</v>
      </c>
    </row>
    <row r="279" customFormat="false" ht="23.85" hidden="false" customHeight="false" outlineLevel="0" collapsed="false">
      <c r="A279" s="21" t="n">
        <v>275</v>
      </c>
      <c r="B279" s="6" t="s">
        <v>1482</v>
      </c>
      <c r="C279" s="21"/>
      <c r="D279" s="21" t="n">
        <v>5</v>
      </c>
      <c r="E279" s="6" t="s">
        <v>1404</v>
      </c>
      <c r="V279" s="6" t="s">
        <v>1483</v>
      </c>
      <c r="W279" s="21" t="n">
        <v>0.023236</v>
      </c>
    </row>
    <row r="280" customFormat="false" ht="23.85" hidden="false" customHeight="false" outlineLevel="0" collapsed="false">
      <c r="A280" s="21" t="n">
        <v>276</v>
      </c>
      <c r="B280" s="6" t="s">
        <v>1484</v>
      </c>
      <c r="C280" s="21"/>
      <c r="D280" s="21" t="n">
        <v>6.8</v>
      </c>
      <c r="E280" s="6" t="s">
        <v>1404</v>
      </c>
      <c r="V280" s="6" t="s">
        <v>1485</v>
      </c>
      <c r="W280" s="21" t="n">
        <v>0.00859104000000001</v>
      </c>
    </row>
    <row r="281" customFormat="false" ht="23.85" hidden="false" customHeight="false" outlineLevel="0" collapsed="false">
      <c r="A281" s="21" t="n">
        <v>277</v>
      </c>
      <c r="B281" s="6" t="s">
        <v>1486</v>
      </c>
      <c r="C281" s="21"/>
      <c r="D281" s="21" t="n">
        <v>8</v>
      </c>
      <c r="E281" s="6" t="s">
        <v>1404</v>
      </c>
      <c r="V281" s="6" t="s">
        <v>1487</v>
      </c>
      <c r="W281" s="21" t="n">
        <v>0.00963666</v>
      </c>
    </row>
    <row r="282" customFormat="false" ht="23.85" hidden="false" customHeight="false" outlineLevel="0" collapsed="false">
      <c r="A282" s="21" t="n">
        <v>278</v>
      </c>
      <c r="B282" s="6" t="s">
        <v>1488</v>
      </c>
      <c r="C282" s="21"/>
      <c r="D282" s="21" t="n">
        <v>4.5</v>
      </c>
      <c r="E282" s="6" t="s">
        <v>1404</v>
      </c>
      <c r="V282" s="6" t="s">
        <v>1489</v>
      </c>
      <c r="W282" s="21" t="n">
        <v>0.01170906</v>
      </c>
    </row>
    <row r="283" customFormat="false" ht="23.85" hidden="false" customHeight="false" outlineLevel="0" collapsed="false">
      <c r="A283" s="21" t="n">
        <v>279</v>
      </c>
      <c r="B283" s="6" t="s">
        <v>1490</v>
      </c>
      <c r="C283" s="21"/>
      <c r="D283" s="21" t="n">
        <v>7.5</v>
      </c>
      <c r="E283" s="6" t="s">
        <v>1404</v>
      </c>
      <c r="V283" s="6" t="s">
        <v>1491</v>
      </c>
      <c r="W283" s="21" t="n">
        <v>0.01273584</v>
      </c>
    </row>
    <row r="284" customFormat="false" ht="15" hidden="false" customHeight="false" outlineLevel="0" collapsed="false">
      <c r="A284" s="21" t="n">
        <v>280</v>
      </c>
      <c r="B284" s="6" t="s">
        <v>1492</v>
      </c>
      <c r="C284" s="21"/>
      <c r="D284" s="21" t="n">
        <v>26</v>
      </c>
      <c r="E284" s="6" t="s">
        <v>1493</v>
      </c>
      <c r="V284" s="6" t="s">
        <v>1494</v>
      </c>
      <c r="W284" s="21" t="n">
        <v>0.01678016</v>
      </c>
    </row>
    <row r="285" customFormat="false" ht="15" hidden="false" customHeight="false" outlineLevel="0" collapsed="false">
      <c r="A285" s="21" t="n">
        <v>281</v>
      </c>
      <c r="B285" s="6" t="s">
        <v>1495</v>
      </c>
      <c r="C285" s="21"/>
      <c r="D285" s="21" t="n">
        <v>24</v>
      </c>
      <c r="E285" s="6" t="s">
        <v>1493</v>
      </c>
      <c r="V285" s="6" t="s">
        <v>1496</v>
      </c>
      <c r="W285" s="21" t="n">
        <v>0.020724</v>
      </c>
    </row>
    <row r="286" customFormat="false" ht="15" hidden="false" customHeight="false" outlineLevel="0" collapsed="false">
      <c r="A286" s="21" t="n">
        <v>282</v>
      </c>
      <c r="B286" s="6" t="s">
        <v>1497</v>
      </c>
      <c r="C286" s="21"/>
      <c r="D286" s="21" t="n">
        <v>30</v>
      </c>
      <c r="E286" s="6" t="s">
        <v>1493</v>
      </c>
      <c r="V286" s="6" t="s">
        <v>1498</v>
      </c>
      <c r="W286" s="21" t="n">
        <v>0.00984704000000001</v>
      </c>
    </row>
    <row r="287" customFormat="false" ht="15" hidden="false" customHeight="false" outlineLevel="0" collapsed="false">
      <c r="A287" s="21" t="n">
        <v>283</v>
      </c>
      <c r="B287" s="6" t="s">
        <v>1499</v>
      </c>
      <c r="C287" s="21"/>
      <c r="D287" s="21" t="n">
        <v>28</v>
      </c>
      <c r="E287" s="6" t="s">
        <v>1493</v>
      </c>
      <c r="V287" s="6" t="s">
        <v>1500</v>
      </c>
      <c r="W287" s="21" t="n">
        <v>0.01104966</v>
      </c>
    </row>
    <row r="288" customFormat="false" ht="15" hidden="false" customHeight="false" outlineLevel="0" collapsed="false">
      <c r="A288" s="21" t="n">
        <v>284</v>
      </c>
      <c r="B288" s="6" t="s">
        <v>1501</v>
      </c>
      <c r="C288" s="21"/>
      <c r="D288" s="21" t="n">
        <v>24</v>
      </c>
      <c r="E288" s="6" t="s">
        <v>1493</v>
      </c>
      <c r="V288" s="6" t="s">
        <v>1502</v>
      </c>
      <c r="W288" s="21" t="n">
        <v>0.01343606</v>
      </c>
    </row>
    <row r="289" customFormat="false" ht="15" hidden="false" customHeight="false" outlineLevel="0" collapsed="false">
      <c r="A289" s="21" t="n">
        <v>285</v>
      </c>
      <c r="B289" s="6" t="s">
        <v>1503</v>
      </c>
      <c r="C289" s="21"/>
      <c r="D289" s="21" t="n">
        <v>27</v>
      </c>
      <c r="E289" s="6" t="s">
        <v>1493</v>
      </c>
      <c r="V289" s="6" t="s">
        <v>1504</v>
      </c>
      <c r="W289" s="21" t="n">
        <v>0.01461984</v>
      </c>
    </row>
    <row r="290" customFormat="false" ht="15" hidden="false" customHeight="false" outlineLevel="0" collapsed="false">
      <c r="A290" s="21" t="n">
        <v>286</v>
      </c>
      <c r="B290" s="6" t="s">
        <v>1505</v>
      </c>
      <c r="C290" s="21"/>
      <c r="D290" s="21" t="n">
        <v>28</v>
      </c>
      <c r="E290" s="6" t="s">
        <v>1493</v>
      </c>
      <c r="V290" s="6" t="s">
        <v>1506</v>
      </c>
      <c r="W290" s="21" t="n">
        <v>0.01929216</v>
      </c>
    </row>
    <row r="291" customFormat="false" ht="15" hidden="false" customHeight="false" outlineLevel="0" collapsed="false">
      <c r="A291" s="21" t="n">
        <v>287</v>
      </c>
      <c r="B291" s="6" t="s">
        <v>1507</v>
      </c>
      <c r="C291" s="21"/>
      <c r="D291" s="21" t="n">
        <v>30</v>
      </c>
      <c r="E291" s="6" t="s">
        <v>1493</v>
      </c>
      <c r="V291" s="6" t="s">
        <v>1508</v>
      </c>
      <c r="W291" s="21" t="n">
        <v>0.023864</v>
      </c>
    </row>
    <row r="292" customFormat="false" ht="15" hidden="false" customHeight="false" outlineLevel="0" collapsed="false">
      <c r="A292" s="21" t="n">
        <v>288</v>
      </c>
      <c r="B292" s="6" t="s">
        <v>1509</v>
      </c>
      <c r="C292" s="21"/>
      <c r="D292" s="21" t="n">
        <v>29</v>
      </c>
      <c r="E292" s="6" t="s">
        <v>1493</v>
      </c>
      <c r="V292" s="6" t="s">
        <v>1510</v>
      </c>
      <c r="W292" s="21" t="n">
        <v>0.0294375</v>
      </c>
    </row>
    <row r="293" customFormat="false" ht="15" hidden="false" customHeight="false" outlineLevel="0" collapsed="false">
      <c r="A293" s="21" t="n">
        <v>289</v>
      </c>
      <c r="B293" s="6" t="s">
        <v>1511</v>
      </c>
      <c r="C293" s="21"/>
      <c r="D293" s="21" t="n">
        <v>30</v>
      </c>
      <c r="E293" s="6" t="s">
        <v>1493</v>
      </c>
      <c r="V293" s="6" t="s">
        <v>1512</v>
      </c>
      <c r="W293" s="21" t="n">
        <v>0.03697664</v>
      </c>
    </row>
    <row r="294" customFormat="false" ht="15" hidden="false" customHeight="false" outlineLevel="0" collapsed="false">
      <c r="A294" s="21" t="n">
        <v>290</v>
      </c>
      <c r="B294" s="6" t="s">
        <v>1513</v>
      </c>
      <c r="C294" s="21"/>
      <c r="D294" s="21" t="n">
        <v>30</v>
      </c>
      <c r="E294" s="6" t="s">
        <v>1493</v>
      </c>
      <c r="V294" s="6" t="s">
        <v>1514</v>
      </c>
      <c r="W294" s="21" t="n">
        <v>0.01246266</v>
      </c>
    </row>
    <row r="295" customFormat="false" ht="15" hidden="false" customHeight="false" outlineLevel="0" collapsed="false">
      <c r="A295" s="21" t="n">
        <v>291</v>
      </c>
      <c r="B295" s="6" t="s">
        <v>1515</v>
      </c>
      <c r="C295" s="21"/>
      <c r="D295" s="21" t="n">
        <v>28</v>
      </c>
      <c r="E295" s="6" t="s">
        <v>1493</v>
      </c>
      <c r="V295" s="6" t="s">
        <v>1516</v>
      </c>
      <c r="W295" s="21" t="n">
        <v>0.01516306</v>
      </c>
    </row>
    <row r="296" customFormat="false" ht="15" hidden="false" customHeight="false" outlineLevel="0" collapsed="false">
      <c r="A296" s="21" t="n">
        <v>292</v>
      </c>
      <c r="B296" s="6" t="s">
        <v>1517</v>
      </c>
      <c r="C296" s="21"/>
      <c r="D296" s="21" t="n">
        <v>28</v>
      </c>
      <c r="E296" s="6" t="s">
        <v>1493</v>
      </c>
      <c r="V296" s="6" t="s">
        <v>1518</v>
      </c>
      <c r="W296" s="21" t="n">
        <v>0.01650384</v>
      </c>
    </row>
    <row r="297" customFormat="false" ht="15" hidden="false" customHeight="false" outlineLevel="0" collapsed="false">
      <c r="A297" s="21" t="n">
        <v>293</v>
      </c>
      <c r="B297" s="6" t="s">
        <v>1519</v>
      </c>
      <c r="C297" s="21"/>
      <c r="D297" s="21" t="n">
        <v>28</v>
      </c>
      <c r="E297" s="6" t="s">
        <v>1493</v>
      </c>
      <c r="V297" s="6" t="s">
        <v>1520</v>
      </c>
      <c r="W297" s="21" t="n">
        <v>0.02180416</v>
      </c>
    </row>
    <row r="298" customFormat="false" ht="15" hidden="false" customHeight="false" outlineLevel="0" collapsed="false">
      <c r="A298" s="21" t="n">
        <v>294</v>
      </c>
      <c r="B298" s="6" t="s">
        <v>1521</v>
      </c>
      <c r="C298" s="21"/>
      <c r="D298" s="21" t="n">
        <v>28</v>
      </c>
      <c r="E298" s="6" t="s">
        <v>1493</v>
      </c>
      <c r="V298" s="6" t="s">
        <v>1522</v>
      </c>
      <c r="W298" s="21" t="n">
        <v>0.027004</v>
      </c>
    </row>
    <row r="299" customFormat="false" ht="15" hidden="false" customHeight="false" outlineLevel="0" collapsed="false">
      <c r="A299" s="21" t="n">
        <v>295</v>
      </c>
      <c r="B299" s="6" t="s">
        <v>1523</v>
      </c>
      <c r="C299" s="21"/>
      <c r="D299" s="21" t="n">
        <v>28</v>
      </c>
      <c r="E299" s="6" t="s">
        <v>1493</v>
      </c>
      <c r="V299" s="6" t="s">
        <v>1524</v>
      </c>
      <c r="W299" s="21" t="n">
        <v>0.0333625</v>
      </c>
    </row>
    <row r="300" customFormat="false" ht="15" hidden="false" customHeight="false" outlineLevel="0" collapsed="false">
      <c r="A300" s="21" t="n">
        <v>296</v>
      </c>
      <c r="B300" s="6" t="s">
        <v>1525</v>
      </c>
      <c r="C300" s="21"/>
      <c r="D300" s="21" t="n">
        <v>24</v>
      </c>
      <c r="E300" s="6" t="s">
        <v>1493</v>
      </c>
      <c r="V300" s="6" t="s">
        <v>1526</v>
      </c>
      <c r="W300" s="21" t="n">
        <v>0.04200064</v>
      </c>
    </row>
    <row r="301" customFormat="false" ht="15" hidden="false" customHeight="false" outlineLevel="0" collapsed="false">
      <c r="V301" s="6" t="s">
        <v>1527</v>
      </c>
      <c r="W301" s="21" t="n">
        <v>0.01387566</v>
      </c>
    </row>
    <row r="302" customFormat="false" ht="15" hidden="false" customHeight="false" outlineLevel="0" collapsed="false">
      <c r="V302" s="6" t="s">
        <v>1528</v>
      </c>
      <c r="W302" s="21" t="n">
        <v>0.01689006</v>
      </c>
    </row>
    <row r="303" customFormat="false" ht="15" hidden="false" customHeight="false" outlineLevel="0" collapsed="false">
      <c r="V303" s="6" t="s">
        <v>1529</v>
      </c>
      <c r="W303" s="21" t="n">
        <v>0.01838784</v>
      </c>
    </row>
    <row r="304" customFormat="false" ht="15" hidden="false" customHeight="false" outlineLevel="0" collapsed="false">
      <c r="V304" s="6" t="s">
        <v>1530</v>
      </c>
      <c r="W304" s="21" t="n">
        <v>0.02431616</v>
      </c>
    </row>
    <row r="305" customFormat="false" ht="15" hidden="false" customHeight="false" outlineLevel="0" collapsed="false">
      <c r="V305" s="6" t="s">
        <v>1531</v>
      </c>
      <c r="W305" s="21" t="n">
        <v>0.030144</v>
      </c>
    </row>
    <row r="306" customFormat="false" ht="15" hidden="false" customHeight="false" outlineLevel="0" collapsed="false">
      <c r="V306" s="6" t="s">
        <v>1532</v>
      </c>
      <c r="W306" s="21" t="n">
        <v>0.0372875</v>
      </c>
    </row>
    <row r="307" customFormat="false" ht="15" hidden="false" customHeight="false" outlineLevel="0" collapsed="false">
      <c r="V307" s="6" t="s">
        <v>1533</v>
      </c>
      <c r="W307" s="21" t="n">
        <v>0.04702464</v>
      </c>
    </row>
    <row r="308" customFormat="false" ht="15" hidden="false" customHeight="false" outlineLevel="0" collapsed="false">
      <c r="V308" s="6" t="s">
        <v>1534</v>
      </c>
      <c r="W308" s="21" t="n">
        <v>0.02592384</v>
      </c>
    </row>
    <row r="309" customFormat="false" ht="15" hidden="false" customHeight="false" outlineLevel="0" collapsed="false">
      <c r="V309" s="6" t="s">
        <v>1535</v>
      </c>
      <c r="W309" s="21" t="n">
        <v>0.03436416</v>
      </c>
    </row>
    <row r="310" customFormat="false" ht="15" hidden="false" customHeight="false" outlineLevel="0" collapsed="false">
      <c r="V310" s="6" t="s">
        <v>1536</v>
      </c>
      <c r="W310" s="21" t="n">
        <v>0.042704</v>
      </c>
    </row>
    <row r="311" customFormat="false" ht="15" hidden="false" customHeight="false" outlineLevel="0" collapsed="false">
      <c r="V311" s="6" t="s">
        <v>1537</v>
      </c>
      <c r="W311" s="21" t="n">
        <v>0.0529875</v>
      </c>
    </row>
    <row r="312" customFormat="false" ht="15" hidden="false" customHeight="false" outlineLevel="0" collapsed="false">
      <c r="V312" s="6" t="s">
        <v>1538</v>
      </c>
      <c r="W312" s="21" t="n">
        <v>0.06712064</v>
      </c>
    </row>
    <row r="313" customFormat="false" ht="15" hidden="false" customHeight="false" outlineLevel="0" collapsed="false">
      <c r="V313" s="6" t="s">
        <v>1539</v>
      </c>
      <c r="W313" s="21" t="n">
        <v>0.07505856</v>
      </c>
    </row>
    <row r="314" customFormat="false" ht="15" hidden="false" customHeight="false" outlineLevel="0" collapsed="false">
      <c r="V314" s="6" t="s">
        <v>1540</v>
      </c>
      <c r="W314" s="21" t="n">
        <v>0.1112062086</v>
      </c>
    </row>
    <row r="315" customFormat="false" ht="15" hidden="false" customHeight="false" outlineLevel="0" collapsed="false">
      <c r="V315" s="6" t="s">
        <v>1541</v>
      </c>
      <c r="W315" s="21" t="n">
        <v>0.03938816</v>
      </c>
    </row>
    <row r="316" customFormat="false" ht="15" hidden="false" customHeight="false" outlineLevel="0" collapsed="false">
      <c r="V316" s="6" t="s">
        <v>1542</v>
      </c>
      <c r="W316" s="21" t="n">
        <v>0.048984</v>
      </c>
    </row>
    <row r="317" customFormat="false" ht="15" hidden="false" customHeight="false" outlineLevel="0" collapsed="false">
      <c r="V317" s="6" t="s">
        <v>1543</v>
      </c>
      <c r="W317" s="21" t="n">
        <v>0.0608375</v>
      </c>
    </row>
    <row r="318" customFormat="false" ht="15" hidden="false" customHeight="false" outlineLevel="0" collapsed="false">
      <c r="V318" s="6" t="s">
        <v>1544</v>
      </c>
      <c r="W318" s="21" t="n">
        <v>0.07716864</v>
      </c>
    </row>
    <row r="319" customFormat="false" ht="15" hidden="false" customHeight="false" outlineLevel="0" collapsed="false">
      <c r="V319" s="6" t="s">
        <v>1545</v>
      </c>
      <c r="W319" s="21" t="n">
        <v>0.01246266</v>
      </c>
    </row>
    <row r="320" customFormat="false" ht="15" hidden="false" customHeight="false" outlineLevel="0" collapsed="false">
      <c r="V320" s="6" t="s">
        <v>1546</v>
      </c>
      <c r="W320" s="21" t="n">
        <v>0.01516306</v>
      </c>
    </row>
    <row r="321" customFormat="false" ht="15" hidden="false" customHeight="false" outlineLevel="0" collapsed="false">
      <c r="V321" s="6" t="s">
        <v>1547</v>
      </c>
      <c r="W321" s="21" t="n">
        <v>0.01650384</v>
      </c>
    </row>
    <row r="322" customFormat="false" ht="15" hidden="false" customHeight="false" outlineLevel="0" collapsed="false">
      <c r="V322" s="6" t="s">
        <v>1548</v>
      </c>
      <c r="W322" s="21" t="n">
        <v>0.02180416</v>
      </c>
    </row>
    <row r="323" customFormat="false" ht="15" hidden="false" customHeight="false" outlineLevel="0" collapsed="false">
      <c r="V323" s="6" t="s">
        <v>1549</v>
      </c>
      <c r="W323" s="21" t="n">
        <v>0.027004</v>
      </c>
    </row>
    <row r="324" customFormat="false" ht="15" hidden="false" customHeight="false" outlineLevel="0" collapsed="false">
      <c r="V324" s="6" t="s">
        <v>1550</v>
      </c>
      <c r="W324" s="21" t="n">
        <v>0.0333625</v>
      </c>
    </row>
    <row r="325" customFormat="false" ht="15" hidden="false" customHeight="false" outlineLevel="0" collapsed="false">
      <c r="V325" s="6" t="s">
        <v>1551</v>
      </c>
      <c r="W325" s="21" t="n">
        <v>0.04200064</v>
      </c>
    </row>
    <row r="326" customFormat="false" ht="15" hidden="false" customHeight="false" outlineLevel="0" collapsed="false">
      <c r="V326" s="6" t="s">
        <v>1552</v>
      </c>
      <c r="W326" s="21" t="n">
        <v>0.01387566</v>
      </c>
    </row>
    <row r="327" customFormat="false" ht="15" hidden="false" customHeight="false" outlineLevel="0" collapsed="false">
      <c r="V327" s="6" t="s">
        <v>1553</v>
      </c>
      <c r="W327" s="21" t="n">
        <v>0.01689006</v>
      </c>
    </row>
    <row r="328" customFormat="false" ht="15" hidden="false" customHeight="false" outlineLevel="0" collapsed="false">
      <c r="V328" s="6" t="s">
        <v>1554</v>
      </c>
      <c r="W328" s="21" t="n">
        <v>0.01838784</v>
      </c>
    </row>
    <row r="329" customFormat="false" ht="15" hidden="false" customHeight="false" outlineLevel="0" collapsed="false">
      <c r="V329" s="6" t="s">
        <v>1555</v>
      </c>
      <c r="W329" s="21" t="n">
        <v>0.02431616</v>
      </c>
    </row>
    <row r="330" customFormat="false" ht="15" hidden="false" customHeight="false" outlineLevel="0" collapsed="false">
      <c r="V330" s="6" t="s">
        <v>1556</v>
      </c>
      <c r="W330" s="21" t="n">
        <v>0.030144</v>
      </c>
    </row>
    <row r="331" customFormat="false" ht="15" hidden="false" customHeight="false" outlineLevel="0" collapsed="false">
      <c r="V331" s="6" t="s">
        <v>1557</v>
      </c>
      <c r="W331" s="21" t="n">
        <v>0.0372875</v>
      </c>
    </row>
    <row r="332" customFormat="false" ht="15" hidden="false" customHeight="false" outlineLevel="0" collapsed="false">
      <c r="V332" s="6" t="s">
        <v>1558</v>
      </c>
      <c r="W332" s="21" t="n">
        <v>0.04702464</v>
      </c>
    </row>
    <row r="333" customFormat="false" ht="15" hidden="false" customHeight="false" outlineLevel="0" collapsed="false">
      <c r="V333" s="6" t="s">
        <v>1559</v>
      </c>
      <c r="W333" s="21" t="n">
        <v>0.02034406</v>
      </c>
    </row>
    <row r="334" customFormat="false" ht="15" hidden="false" customHeight="false" outlineLevel="0" collapsed="false">
      <c r="V334" s="6" t="s">
        <v>1560</v>
      </c>
      <c r="W334" s="21" t="n">
        <v>0.02215584</v>
      </c>
    </row>
    <row r="335" customFormat="false" ht="15" hidden="false" customHeight="false" outlineLevel="0" collapsed="false">
      <c r="V335" s="6" t="s">
        <v>1561</v>
      </c>
      <c r="W335" s="21" t="n">
        <v>0.02934016</v>
      </c>
    </row>
    <row r="336" customFormat="false" ht="15" hidden="false" customHeight="false" outlineLevel="0" collapsed="false">
      <c r="V336" s="6" t="s">
        <v>1562</v>
      </c>
      <c r="W336" s="21" t="n">
        <v>0.036424</v>
      </c>
    </row>
    <row r="337" customFormat="false" ht="15" hidden="false" customHeight="false" outlineLevel="0" collapsed="false">
      <c r="V337" s="6" t="s">
        <v>1563</v>
      </c>
      <c r="W337" s="21" t="n">
        <v>0.0451375</v>
      </c>
    </row>
    <row r="338" customFormat="false" ht="15" hidden="false" customHeight="false" outlineLevel="0" collapsed="false">
      <c r="V338" s="6" t="s">
        <v>1564</v>
      </c>
      <c r="W338" s="21" t="n">
        <v>0.05707264</v>
      </c>
    </row>
    <row r="339" customFormat="false" ht="15" hidden="false" customHeight="false" outlineLevel="0" collapsed="false">
      <c r="V339" s="6" t="s">
        <v>1565</v>
      </c>
      <c r="W339" s="21" t="n">
        <v>0.0888539616</v>
      </c>
    </row>
    <row r="340" customFormat="false" ht="15" hidden="false" customHeight="false" outlineLevel="0" collapsed="false">
      <c r="V340" s="6" t="s">
        <v>1566</v>
      </c>
      <c r="W340" s="21" t="n">
        <v>0.03687616</v>
      </c>
    </row>
    <row r="341" customFormat="false" ht="15" hidden="false" customHeight="false" outlineLevel="0" collapsed="false">
      <c r="V341" s="6" t="s">
        <v>1567</v>
      </c>
      <c r="W341" s="21" t="n">
        <v>0.045844</v>
      </c>
    </row>
    <row r="342" customFormat="false" ht="15" hidden="false" customHeight="false" outlineLevel="0" collapsed="false">
      <c r="V342" s="6" t="s">
        <v>1568</v>
      </c>
      <c r="W342" s="21" t="n">
        <v>0.0569125</v>
      </c>
    </row>
    <row r="343" customFormat="false" ht="15" hidden="false" customHeight="false" outlineLevel="0" collapsed="false">
      <c r="V343" s="6" t="s">
        <v>1569</v>
      </c>
      <c r="W343" s="21" t="n">
        <v>0.07214464</v>
      </c>
    </row>
    <row r="344" customFormat="false" ht="15" hidden="false" customHeight="false" outlineLevel="0" collapsed="false">
      <c r="V344" s="6" t="s">
        <v>1570</v>
      </c>
      <c r="W344" s="21" t="n">
        <v>0.1198255086</v>
      </c>
    </row>
    <row r="345" customFormat="false" ht="15" hidden="false" customHeight="false" outlineLevel="0" collapsed="false">
      <c r="V345" s="6" t="s">
        <v>1571</v>
      </c>
      <c r="W345" s="21" t="n">
        <v>0.04943616</v>
      </c>
    </row>
    <row r="346" customFormat="false" ht="15" hidden="false" customHeight="false" outlineLevel="0" collapsed="false">
      <c r="V346" s="6" t="s">
        <v>1572</v>
      </c>
      <c r="W346" s="21" t="n">
        <v>0.061544</v>
      </c>
    </row>
    <row r="347" customFormat="false" ht="15" hidden="false" customHeight="false" outlineLevel="0" collapsed="false">
      <c r="V347" s="6" t="s">
        <v>1573</v>
      </c>
      <c r="W347" s="21" t="n">
        <v>0.0765375</v>
      </c>
    </row>
    <row r="348" customFormat="false" ht="15" hidden="false" customHeight="false" outlineLevel="0" collapsed="false">
      <c r="V348" s="6" t="s">
        <v>1574</v>
      </c>
      <c r="W348" s="21" t="n">
        <v>0.09726464</v>
      </c>
    </row>
    <row r="349" customFormat="false" ht="15" hidden="false" customHeight="false" outlineLevel="0" collapsed="false">
      <c r="V349" s="6" t="s">
        <v>1575</v>
      </c>
      <c r="W349" s="21" t="n">
        <v>0.186728735</v>
      </c>
    </row>
    <row r="350" customFormat="false" ht="15" hidden="false" customHeight="false" outlineLevel="0" collapsed="false">
      <c r="V350" s="6" t="s">
        <v>1576</v>
      </c>
      <c r="W350" s="21" t="n">
        <v>0.02034406</v>
      </c>
    </row>
    <row r="351" customFormat="false" ht="15" hidden="false" customHeight="false" outlineLevel="0" collapsed="false">
      <c r="V351" s="6" t="s">
        <v>1577</v>
      </c>
      <c r="W351" s="21" t="n">
        <v>0.02215584</v>
      </c>
    </row>
    <row r="352" customFormat="false" ht="15" hidden="false" customHeight="false" outlineLevel="0" collapsed="false">
      <c r="V352" s="6" t="s">
        <v>1578</v>
      </c>
      <c r="W352" s="21" t="n">
        <v>0.02934016</v>
      </c>
    </row>
    <row r="353" customFormat="false" ht="15" hidden="false" customHeight="false" outlineLevel="0" collapsed="false">
      <c r="V353" s="6" t="s">
        <v>1579</v>
      </c>
      <c r="W353" s="21" t="n">
        <v>0.036424</v>
      </c>
    </row>
    <row r="354" customFormat="false" ht="15" hidden="false" customHeight="false" outlineLevel="0" collapsed="false">
      <c r="V354" s="6" t="s">
        <v>1580</v>
      </c>
      <c r="W354" s="21" t="n">
        <v>0.0451375</v>
      </c>
    </row>
    <row r="355" customFormat="false" ht="15" hidden="false" customHeight="false" outlineLevel="0" collapsed="false">
      <c r="V355" s="6" t="s">
        <v>1581</v>
      </c>
      <c r="W355" s="21" t="n">
        <v>0.05707264</v>
      </c>
    </row>
    <row r="356" customFormat="false" ht="15" hidden="false" customHeight="false" outlineLevel="0" collapsed="false">
      <c r="V356" s="6" t="s">
        <v>1582</v>
      </c>
      <c r="W356" s="21" t="n">
        <v>0.0888539616</v>
      </c>
    </row>
    <row r="357" customFormat="false" ht="15" hidden="false" customHeight="false" outlineLevel="0" collapsed="false">
      <c r="V357" s="6" t="s">
        <v>1583</v>
      </c>
      <c r="W357" s="21" t="n">
        <v>0.1112062086</v>
      </c>
    </row>
    <row r="358" customFormat="false" ht="15" hidden="false" customHeight="false" outlineLevel="0" collapsed="false">
      <c r="V358" s="6" t="s">
        <v>1584</v>
      </c>
      <c r="W358" s="21" t="n">
        <v>0.03938816</v>
      </c>
    </row>
    <row r="359" customFormat="false" ht="15" hidden="false" customHeight="false" outlineLevel="0" collapsed="false">
      <c r="V359" s="6" t="s">
        <v>1585</v>
      </c>
      <c r="W359" s="21" t="n">
        <v>0.048984</v>
      </c>
    </row>
    <row r="360" customFormat="false" ht="15" hidden="false" customHeight="false" outlineLevel="0" collapsed="false">
      <c r="V360" s="6" t="s">
        <v>1586</v>
      </c>
      <c r="W360" s="21" t="n">
        <v>0.0608375</v>
      </c>
    </row>
    <row r="361" customFormat="false" ht="15" hidden="false" customHeight="false" outlineLevel="0" collapsed="false">
      <c r="V361" s="6" t="s">
        <v>1587</v>
      </c>
      <c r="W361" s="21" t="n">
        <v>0.07716864</v>
      </c>
    </row>
    <row r="362" customFormat="false" ht="15" hidden="false" customHeight="false" outlineLevel="0" collapsed="false">
      <c r="V362" s="6" t="s">
        <v>1588</v>
      </c>
      <c r="W362" s="21" t="n">
        <v>0.146850735</v>
      </c>
    </row>
    <row r="363" customFormat="false" ht="15" hidden="false" customHeight="false" outlineLevel="0" collapsed="false">
      <c r="V363" s="6" t="s">
        <v>1589</v>
      </c>
      <c r="W363" s="21" t="n">
        <v>0.04441216</v>
      </c>
    </row>
    <row r="364" customFormat="false" ht="15" hidden="false" customHeight="false" outlineLevel="0" collapsed="false">
      <c r="V364" s="6" t="s">
        <v>1590</v>
      </c>
      <c r="W364" s="21" t="n">
        <v>0.055264</v>
      </c>
    </row>
    <row r="365" customFormat="false" ht="15" hidden="false" customHeight="false" outlineLevel="0" collapsed="false">
      <c r="V365" s="6" t="s">
        <v>1591</v>
      </c>
      <c r="W365" s="21" t="n">
        <v>0.0686875</v>
      </c>
    </row>
    <row r="366" customFormat="false" ht="15" hidden="false" customHeight="false" outlineLevel="0" collapsed="false">
      <c r="V366" s="6" t="s">
        <v>1592</v>
      </c>
      <c r="W366" s="21" t="n">
        <v>0.08721664</v>
      </c>
    </row>
    <row r="367" customFormat="false" ht="15" hidden="false" customHeight="false" outlineLevel="0" collapsed="false">
      <c r="V367" s="6" t="s">
        <v>1593</v>
      </c>
      <c r="W367" s="21" t="n">
        <v>0.108016</v>
      </c>
    </row>
    <row r="368" customFormat="false" ht="15" hidden="false" customHeight="false" outlineLevel="0" collapsed="false">
      <c r="V368" s="6" t="s">
        <v>1594</v>
      </c>
      <c r="W368" s="21" t="n">
        <v>0.1587457144</v>
      </c>
    </row>
    <row r="369" customFormat="false" ht="15" hidden="false" customHeight="false" outlineLevel="0" collapsed="false">
      <c r="V369" s="6" t="s">
        <v>1595</v>
      </c>
      <c r="W369" s="21" t="n">
        <v>0.0494361599999999</v>
      </c>
    </row>
    <row r="370" customFormat="false" ht="15" hidden="false" customHeight="false" outlineLevel="0" collapsed="false">
      <c r="V370" s="6" t="s">
        <v>1596</v>
      </c>
      <c r="W370" s="21" t="n">
        <v>0.061544</v>
      </c>
    </row>
    <row r="371" customFormat="false" ht="15" hidden="false" customHeight="false" outlineLevel="0" collapsed="false">
      <c r="V371" s="6" t="s">
        <v>1597</v>
      </c>
      <c r="W371" s="21" t="n">
        <v>0.0765375</v>
      </c>
    </row>
    <row r="372" customFormat="false" ht="15" hidden="false" customHeight="false" outlineLevel="0" collapsed="false">
      <c r="V372" s="6" t="s">
        <v>1598</v>
      </c>
      <c r="W372" s="21" t="n">
        <v>0.09726464</v>
      </c>
    </row>
    <row r="373" customFormat="false" ht="15" hidden="false" customHeight="false" outlineLevel="0" collapsed="false">
      <c r="V373" s="6" t="s">
        <v>1599</v>
      </c>
      <c r="W373" s="21" t="n">
        <v>0.02592384</v>
      </c>
    </row>
    <row r="374" customFormat="false" ht="15" hidden="false" customHeight="false" outlineLevel="0" collapsed="false">
      <c r="V374" s="6" t="s">
        <v>1600</v>
      </c>
      <c r="W374" s="21" t="n">
        <v>0.03436416</v>
      </c>
    </row>
    <row r="375" customFormat="false" ht="15" hidden="false" customHeight="false" outlineLevel="0" collapsed="false">
      <c r="V375" s="6" t="s">
        <v>1601</v>
      </c>
      <c r="W375" s="21" t="n">
        <v>0.042704</v>
      </c>
    </row>
    <row r="376" customFormat="false" ht="15" hidden="false" customHeight="false" outlineLevel="0" collapsed="false">
      <c r="V376" s="6" t="s">
        <v>1602</v>
      </c>
      <c r="W376" s="21" t="n">
        <v>0.0529875</v>
      </c>
    </row>
    <row r="377" customFormat="false" ht="15" hidden="false" customHeight="false" outlineLevel="0" collapsed="false">
      <c r="V377" s="6" t="s">
        <v>1603</v>
      </c>
      <c r="W377" s="21" t="n">
        <v>0.06712064</v>
      </c>
    </row>
    <row r="378" customFormat="false" ht="15" hidden="false" customHeight="false" outlineLevel="0" collapsed="false">
      <c r="V378" s="6" t="s">
        <v>1604</v>
      </c>
      <c r="W378" s="21" t="n">
        <v>0.07505856</v>
      </c>
    </row>
    <row r="379" customFormat="false" ht="15" hidden="false" customHeight="false" outlineLevel="0" collapsed="false">
      <c r="V379" s="6" t="s">
        <v>1605</v>
      </c>
      <c r="W379" s="21" t="n">
        <v>0.1112062086</v>
      </c>
    </row>
    <row r="380" customFormat="false" ht="15" hidden="false" customHeight="false" outlineLevel="0" collapsed="false">
      <c r="V380" s="6" t="s">
        <v>1606</v>
      </c>
      <c r="W380" s="21" t="n">
        <v>0.1587457144</v>
      </c>
    </row>
    <row r="381" customFormat="false" ht="15" hidden="false" customHeight="false" outlineLevel="0" collapsed="false">
      <c r="V381" s="6" t="s">
        <v>1607</v>
      </c>
      <c r="W381" s="21" t="n">
        <v>0.146850735</v>
      </c>
    </row>
    <row r="382" customFormat="false" ht="15" hidden="false" customHeight="false" outlineLevel="0" collapsed="false">
      <c r="V382" s="6" t="s">
        <v>1608</v>
      </c>
      <c r="W382" s="21" t="n">
        <v>0.04441216</v>
      </c>
    </row>
    <row r="383" customFormat="false" ht="15" hidden="false" customHeight="false" outlineLevel="0" collapsed="false">
      <c r="V383" s="6" t="s">
        <v>1609</v>
      </c>
      <c r="W383" s="21" t="n">
        <v>0.055264</v>
      </c>
    </row>
    <row r="384" customFormat="false" ht="15" hidden="false" customHeight="false" outlineLevel="0" collapsed="false">
      <c r="V384" s="6" t="s">
        <v>1610</v>
      </c>
      <c r="W384" s="21" t="n">
        <v>0.0686875</v>
      </c>
    </row>
    <row r="385" customFormat="false" ht="15" hidden="false" customHeight="false" outlineLevel="0" collapsed="false">
      <c r="V385" s="6" t="s">
        <v>1611</v>
      </c>
      <c r="W385" s="21" t="n">
        <v>0.0872166400000001</v>
      </c>
    </row>
    <row r="386" customFormat="false" ht="15" hidden="false" customHeight="false" outlineLevel="0" collapsed="false">
      <c r="V386" s="6" t="s">
        <v>1612</v>
      </c>
      <c r="W386" s="21" t="n">
        <v>0.108016</v>
      </c>
    </row>
    <row r="387" customFormat="false" ht="15" hidden="false" customHeight="false" outlineLevel="0" collapsed="false">
      <c r="V387" s="6" t="s">
        <v>1613</v>
      </c>
      <c r="W387" s="21" t="n">
        <v>0.1587457144</v>
      </c>
    </row>
    <row r="388" customFormat="false" ht="15" hidden="false" customHeight="false" outlineLevel="0" collapsed="false">
      <c r="V388" s="6" t="s">
        <v>1614</v>
      </c>
      <c r="W388" s="21" t="n">
        <v>0.04943616</v>
      </c>
    </row>
    <row r="389" customFormat="false" ht="15" hidden="false" customHeight="false" outlineLevel="0" collapsed="false">
      <c r="V389" s="6" t="s">
        <v>1615</v>
      </c>
      <c r="W389" s="21" t="n">
        <v>0.061544</v>
      </c>
    </row>
    <row r="390" customFormat="false" ht="15" hidden="false" customHeight="false" outlineLevel="0" collapsed="false">
      <c r="V390" s="6" t="s">
        <v>1616</v>
      </c>
      <c r="W390" s="21" t="n">
        <v>0.0765375</v>
      </c>
    </row>
    <row r="391" customFormat="false" ht="15" hidden="false" customHeight="false" outlineLevel="0" collapsed="false">
      <c r="V391" s="6" t="s">
        <v>1617</v>
      </c>
      <c r="W391" s="21" t="n">
        <v>0.0972646400000001</v>
      </c>
    </row>
    <row r="392" customFormat="false" ht="15" hidden="false" customHeight="false" outlineLevel="0" collapsed="false">
      <c r="V392" s="6" t="s">
        <v>1618</v>
      </c>
      <c r="W392" s="21" t="n">
        <v>0.1579268024</v>
      </c>
    </row>
    <row r="393" customFormat="false" ht="15" hidden="false" customHeight="false" outlineLevel="0" collapsed="false">
      <c r="V393" s="6" t="s">
        <v>1619</v>
      </c>
      <c r="W393" s="21" t="n">
        <v>0.206667735</v>
      </c>
    </row>
    <row r="394" customFormat="false" ht="15" hidden="false" customHeight="false" outlineLevel="0" collapsed="false">
      <c r="V394" s="6" t="s">
        <v>1620</v>
      </c>
      <c r="W394" s="21" t="n">
        <v>0.226606735</v>
      </c>
    </row>
    <row r="395" customFormat="false" ht="15" hidden="false" customHeight="false" outlineLevel="0" collapsed="false">
      <c r="V395" s="6" t="s">
        <v>1621</v>
      </c>
      <c r="W395" s="21" t="n">
        <v>0.226606735</v>
      </c>
    </row>
    <row r="396" customFormat="false" ht="15" hidden="false" customHeight="false" outlineLevel="0" collapsed="false">
      <c r="V396" s="6" t="s">
        <v>1622</v>
      </c>
      <c r="W396" s="21" t="n">
        <v>0.0394584037290878</v>
      </c>
    </row>
    <row r="397" customFormat="false" ht="15" hidden="false" customHeight="false" outlineLevel="0" collapsed="false">
      <c r="V397" s="6" t="s">
        <v>1623</v>
      </c>
      <c r="W397" s="21" t="n">
        <v>0.0491257126427143</v>
      </c>
    </row>
    <row r="398" customFormat="false" ht="15" hidden="false" customHeight="false" outlineLevel="0" collapsed="false">
      <c r="V398" s="6" t="s">
        <v>1624</v>
      </c>
      <c r="W398" s="21" t="n">
        <v>0.0610988720242593</v>
      </c>
    </row>
    <row r="399" customFormat="false" ht="15" hidden="false" customHeight="false" outlineLevel="0" collapsed="false">
      <c r="V399" s="6" t="s">
        <v>1625</v>
      </c>
      <c r="W399" s="21" t="n">
        <v>0.0776541385388447</v>
      </c>
    </row>
    <row r="400" customFormat="false" ht="15" hidden="false" customHeight="false" outlineLevel="0" collapsed="false">
      <c r="V400" s="6" t="s">
        <v>1626</v>
      </c>
      <c r="W400" s="21" t="n">
        <v>0.149162014159326</v>
      </c>
    </row>
    <row r="401" customFormat="false" ht="15" hidden="false" customHeight="false" outlineLevel="0" collapsed="false">
      <c r="V401" s="6" t="s">
        <v>1627</v>
      </c>
      <c r="W401" s="21" t="n">
        <v>0.0444696210026821</v>
      </c>
    </row>
    <row r="402" customFormat="false" ht="15" hidden="false" customHeight="false" outlineLevel="0" collapsed="false">
      <c r="V402" s="6" t="s">
        <v>1628</v>
      </c>
      <c r="W402" s="21" t="n">
        <v>0.0553897342347072</v>
      </c>
    </row>
    <row r="403" customFormat="false" ht="15" hidden="false" customHeight="false" outlineLevel="0" collapsed="false">
      <c r="V403" s="6" t="s">
        <v>1629</v>
      </c>
      <c r="W403" s="21" t="n">
        <v>0.0689288990142504</v>
      </c>
    </row>
    <row r="404" customFormat="false" ht="15" hidden="false" customHeight="false" outlineLevel="0" collapsed="false">
      <c r="V404" s="6" t="s">
        <v>1630</v>
      </c>
      <c r="W404" s="21" t="n">
        <v>0.0876765730860332</v>
      </c>
    </row>
    <row r="405" customFormat="false" ht="15" hidden="false" customHeight="false" outlineLevel="0" collapsed="false">
      <c r="V405" s="6" t="s">
        <v>1631</v>
      </c>
      <c r="W405" s="21" t="n">
        <v>0.0982810190882256</v>
      </c>
    </row>
    <row r="406" customFormat="false" ht="15" hidden="false" customHeight="false" outlineLevel="0" collapsed="false">
      <c r="V406" s="6" t="s">
        <v>1632</v>
      </c>
      <c r="W406" s="21" t="n">
        <v>0.10880654828296</v>
      </c>
    </row>
    <row r="407" customFormat="false" ht="15" hidden="false" customHeight="false" outlineLevel="0" collapsed="false">
      <c r="V407" s="6" t="s">
        <v>1633</v>
      </c>
      <c r="W407" s="21" t="n">
        <v>0.160754917836434</v>
      </c>
    </row>
    <row r="408" customFormat="false" ht="15" hidden="false" customHeight="false" outlineLevel="0" collapsed="false">
      <c r="V408" s="6" t="s">
        <v>1634</v>
      </c>
      <c r="W408" s="21" t="n">
        <v>0.00207156619577711</v>
      </c>
    </row>
    <row r="409" customFormat="false" ht="15" hidden="false" customHeight="false" outlineLevel="0" collapsed="false">
      <c r="V409" s="6" t="s">
        <v>1635</v>
      </c>
      <c r="W409" s="21" t="n">
        <v>0.00234777502188073</v>
      </c>
    </row>
    <row r="410" customFormat="false" ht="15" hidden="false" customHeight="false" outlineLevel="0" collapsed="false">
      <c r="V410" s="6" t="s">
        <v>1636</v>
      </c>
      <c r="W410" s="21" t="n">
        <v>0.0026190515475182</v>
      </c>
    </row>
    <row r="411" customFormat="false" ht="15" hidden="false" customHeight="false" outlineLevel="0" collapsed="false">
      <c r="V411" s="6" t="s">
        <v>1637</v>
      </c>
      <c r="W411" s="21" t="n">
        <v>0.00314680769739475</v>
      </c>
    </row>
    <row r="412" customFormat="false" ht="15" hidden="false" customHeight="false" outlineLevel="0" collapsed="false">
      <c r="V412" s="6" t="s">
        <v>1638</v>
      </c>
      <c r="W412" s="21" t="n">
        <v>0.00340328732163383</v>
      </c>
    </row>
    <row r="413" customFormat="false" ht="15" hidden="false" customHeight="false" outlineLevel="0" collapsed="false">
      <c r="V413" s="6" t="s">
        <v>1639</v>
      </c>
      <c r="W413" s="21" t="n">
        <v>0.00390144966871356</v>
      </c>
    </row>
    <row r="414" customFormat="false" ht="15" hidden="false" customHeight="false" outlineLevel="0" collapsed="false">
      <c r="V414" s="6" t="s">
        <v>1640</v>
      </c>
      <c r="W414" s="21" t="n">
        <v>0.184240535074485</v>
      </c>
    </row>
    <row r="415" customFormat="false" ht="15" hidden="false" customHeight="false" outlineLevel="0" collapsed="false">
      <c r="V415" s="6" t="s">
        <v>1641</v>
      </c>
      <c r="W415" s="21" t="n">
        <v>0.0494808382762762</v>
      </c>
    </row>
    <row r="416" customFormat="false" ht="15" hidden="false" customHeight="false" outlineLevel="0" collapsed="false">
      <c r="V416" s="6" t="s">
        <v>1642</v>
      </c>
      <c r="W416" s="21" t="n">
        <v>0.0616537558266995</v>
      </c>
    </row>
    <row r="417" customFormat="false" ht="15" hidden="false" customHeight="false" outlineLevel="0" collapsed="false">
      <c r="V417" s="6" t="s">
        <v>1643</v>
      </c>
      <c r="W417" s="21" t="n">
        <v>0.0767589260042412</v>
      </c>
    </row>
    <row r="418" customFormat="false" ht="15" hidden="false" customHeight="false" outlineLevel="0" collapsed="false">
      <c r="V418" s="6" t="s">
        <v>1644</v>
      </c>
      <c r="W418" s="21" t="n">
        <v>0.0976990076332215</v>
      </c>
    </row>
    <row r="419" customFormat="false" ht="15" hidden="false" customHeight="false" outlineLevel="0" collapsed="false">
      <c r="V419" s="6" t="s">
        <v>1645</v>
      </c>
      <c r="W419" s="21" t="n">
        <v>0.159400014898387</v>
      </c>
    </row>
    <row r="420" customFormat="false" ht="15" hidden="false" customHeight="false" outlineLevel="0" collapsed="false">
      <c r="V420" s="6" t="s">
        <v>1646</v>
      </c>
      <c r="W420" s="21" t="n">
        <v>0.209296621442456</v>
      </c>
    </row>
    <row r="421" customFormat="false" ht="15" hidden="false" customHeight="false" outlineLevel="0" collapsed="false">
      <c r="V421" s="6" t="s">
        <v>1647</v>
      </c>
      <c r="W421" s="21" t="n">
        <v>0.218692653830445</v>
      </c>
    </row>
    <row r="422" customFormat="false" ht="15" hidden="false" customHeight="false" outlineLevel="0" collapsed="false">
      <c r="V422" s="6" t="s">
        <v>1648</v>
      </c>
      <c r="W422" s="21" t="n">
        <v>0.0026188049324949</v>
      </c>
    </row>
    <row r="423" customFormat="false" ht="15" hidden="false" customHeight="false" outlineLevel="0" collapsed="false">
      <c r="V423" s="6" t="s">
        <v>1649</v>
      </c>
      <c r="W423" s="21" t="n">
        <v>0.00297319072098676</v>
      </c>
    </row>
    <row r="424" customFormat="false" ht="15" hidden="false" customHeight="false" outlineLevel="0" collapsed="false">
      <c r="V424" s="6" t="s">
        <v>1650</v>
      </c>
      <c r="W424" s="21" t="n">
        <v>0.0033226442090125</v>
      </c>
    </row>
    <row r="425" customFormat="false" ht="15" hidden="false" customHeight="false" outlineLevel="0" collapsed="false">
      <c r="V425" s="6" t="s">
        <v>1651</v>
      </c>
      <c r="W425" s="21" t="n">
        <v>0.00400675428366556</v>
      </c>
    </row>
    <row r="426" customFormat="false" ht="15" hidden="false" customHeight="false" outlineLevel="0" collapsed="false">
      <c r="V426" s="6" t="s">
        <v>1652</v>
      </c>
      <c r="W426" s="21" t="n">
        <v>0.00434141087029288</v>
      </c>
    </row>
    <row r="427" customFormat="false" ht="15" hidden="false" customHeight="false" outlineLevel="0" collapsed="false">
      <c r="V427" s="6" t="s">
        <v>1653</v>
      </c>
      <c r="W427" s="21" t="n">
        <v>0.00499592714214913</v>
      </c>
    </row>
    <row r="428" customFormat="false" ht="15" hidden="false" customHeight="false" outlineLevel="0" collapsed="false">
      <c r="V428" s="6" t="s">
        <v>1654</v>
      </c>
      <c r="W428" s="21" t="n">
        <v>0.00563071421214083</v>
      </c>
    </row>
    <row r="429" customFormat="false" ht="15" hidden="false" customHeight="false" outlineLevel="0" collapsed="false">
      <c r="V429" s="6" t="s">
        <v>1655</v>
      </c>
      <c r="W429" s="21" t="n">
        <v>0.0068411007465306</v>
      </c>
    </row>
    <row r="430" customFormat="false" ht="15" hidden="false" customHeight="false" outlineLevel="0" collapsed="false">
      <c r="V430" s="6" t="s">
        <v>1656</v>
      </c>
      <c r="W430" s="21" t="n">
        <v>0.192406969617769</v>
      </c>
    </row>
    <row r="431" customFormat="false" ht="15" hidden="false" customHeight="false" outlineLevel="0" collapsed="false">
      <c r="V431" s="6" t="s">
        <v>1657</v>
      </c>
      <c r="W431" s="21" t="n">
        <v>0.253144772586404</v>
      </c>
    </row>
    <row r="432" customFormat="false" ht="15" hidden="false" customHeight="false" outlineLevel="0" collapsed="false">
      <c r="V432" s="6" t="s">
        <v>1658</v>
      </c>
      <c r="W432" s="21" t="n">
        <v>0.00316776997437583</v>
      </c>
    </row>
    <row r="433" customFormat="false" ht="15" hidden="false" customHeight="false" outlineLevel="0" collapsed="false">
      <c r="V433" s="6" t="s">
        <v>1659</v>
      </c>
      <c r="W433" s="21" t="n">
        <v>0.00402845640571656</v>
      </c>
    </row>
    <row r="434" customFormat="false" ht="15" hidden="false" customHeight="false" outlineLevel="0" collapsed="false">
      <c r="V434" s="6" t="s">
        <v>1660</v>
      </c>
      <c r="W434" s="21" t="n">
        <v>0.00486941363519274</v>
      </c>
    </row>
    <row r="435" customFormat="false" ht="15" hidden="false" customHeight="false" outlineLevel="0" collapsed="false">
      <c r="V435" s="6" t="s">
        <v>1661</v>
      </c>
      <c r="W435" s="21" t="n">
        <v>0.00528249379923162</v>
      </c>
    </row>
    <row r="436" customFormat="false" ht="15" hidden="false" customHeight="false" outlineLevel="0" collapsed="false">
      <c r="V436" s="6" t="s">
        <v>1662</v>
      </c>
      <c r="W436" s="21" t="n">
        <v>0.006093857225911</v>
      </c>
    </row>
    <row r="437" customFormat="false" ht="15" hidden="false" customHeight="false" outlineLevel="0" collapsed="false">
      <c r="V437" s="6" t="s">
        <v>1663</v>
      </c>
      <c r="W437" s="21" t="n">
        <v>0.00688549145072582</v>
      </c>
    </row>
    <row r="438" customFormat="false" ht="15" hidden="false" customHeight="false" outlineLevel="0" collapsed="false">
      <c r="V438" s="6" t="s">
        <v>1664</v>
      </c>
      <c r="W438" s="21" t="n">
        <v>0.00840957229476183</v>
      </c>
    </row>
    <row r="439" customFormat="false" ht="15" hidden="false" customHeight="false" outlineLevel="0" collapsed="false">
      <c r="V439" s="6" t="s">
        <v>1665</v>
      </c>
      <c r="W439" s="21" t="n">
        <v>0.00371500871109362</v>
      </c>
    </row>
    <row r="440" customFormat="false" ht="15" hidden="false" customHeight="false" outlineLevel="0" collapsed="false">
      <c r="V440" s="6" t="s">
        <v>1666</v>
      </c>
      <c r="W440" s="21" t="n">
        <v>0.00422599503938531</v>
      </c>
    </row>
    <row r="441" customFormat="false" ht="15" hidden="false" customHeight="false" outlineLevel="0" collapsed="false">
      <c r="V441" s="6" t="s">
        <v>1667</v>
      </c>
      <c r="W441" s="21" t="n">
        <v>0.00473204906721086</v>
      </c>
    </row>
    <row r="442" customFormat="false" ht="15" hidden="false" customHeight="false" outlineLevel="0" collapsed="false">
      <c r="V442" s="6" t="s">
        <v>1668</v>
      </c>
      <c r="W442" s="21" t="n">
        <v>0.00572936022146356</v>
      </c>
    </row>
    <row r="443" customFormat="false" ht="15" hidden="false" customHeight="false" outlineLevel="0" collapsed="false">
      <c r="V443" s="6" t="s">
        <v>1669</v>
      </c>
      <c r="W443" s="21" t="n">
        <v>0.00622061734789069</v>
      </c>
    </row>
    <row r="444" customFormat="false" ht="15" hidden="false" customHeight="false" outlineLevel="0" collapsed="false">
      <c r="V444" s="6" t="s">
        <v>1670</v>
      </c>
      <c r="W444" s="21" t="n">
        <v>0.00718833469934658</v>
      </c>
    </row>
    <row r="445" customFormat="false" ht="15" hidden="false" customHeight="false" outlineLevel="0" collapsed="false">
      <c r="V445" s="6" t="s">
        <v>1671</v>
      </c>
      <c r="W445" s="21" t="n">
        <v>0.00813632284893791</v>
      </c>
    </row>
    <row r="446" customFormat="false" ht="15" hidden="false" customHeight="false" outlineLevel="0" collapsed="false">
      <c r="V446" s="6" t="s">
        <v>1672</v>
      </c>
      <c r="W446" s="21" t="n">
        <v>0.00997311154252695</v>
      </c>
    </row>
    <row r="447" customFormat="false" ht="15" hidden="false" customHeight="false" outlineLevel="0" collapsed="false">
      <c r="V447" s="6" t="s">
        <v>1673</v>
      </c>
      <c r="W447" s="21" t="n">
        <v>0.0048533836586778</v>
      </c>
    </row>
    <row r="448" customFormat="false" ht="15" hidden="false" customHeight="false" outlineLevel="0" collapsed="false">
      <c r="V448" s="6" t="s">
        <v>1674</v>
      </c>
      <c r="W448" s="21" t="n">
        <v>0.00543786126391492</v>
      </c>
    </row>
    <row r="449" customFormat="false" ht="15" hidden="false" customHeight="false" outlineLevel="0" collapsed="false">
      <c r="V449" s="6" t="s">
        <v>1675</v>
      </c>
      <c r="W449" s="21" t="n">
        <v>0.00659201957299073</v>
      </c>
    </row>
    <row r="450" customFormat="false" ht="15" hidden="false" customHeight="false" outlineLevel="0" collapsed="false">
      <c r="V450" s="6" t="s">
        <v>1676</v>
      </c>
      <c r="W450" s="21" t="n">
        <v>0.00716170027682944</v>
      </c>
    </row>
    <row r="451" customFormat="false" ht="15" hidden="false" customHeight="false" outlineLevel="0" collapsed="false">
      <c r="V451" s="6" t="s">
        <v>1677</v>
      </c>
      <c r="W451" s="21" t="n">
        <v>0.00828626478310845</v>
      </c>
    </row>
    <row r="452" customFormat="false" ht="15" hidden="false" customHeight="false" outlineLevel="0" collapsed="false">
      <c r="V452" s="6" t="s">
        <v>1678</v>
      </c>
      <c r="W452" s="21" t="n">
        <v>0.0093911000875229</v>
      </c>
    </row>
    <row r="453" customFormat="false" ht="15" hidden="false" customHeight="false" outlineLevel="0" collapsed="false">
      <c r="V453" s="6" t="s">
        <v>1679</v>
      </c>
      <c r="W453" s="21" t="n">
        <v>0.0115415830907582</v>
      </c>
    </row>
    <row r="454" customFormat="false" ht="15" hidden="false" customHeight="false" outlineLevel="0" collapsed="false">
      <c r="V454" s="6" t="s">
        <v>1680</v>
      </c>
      <c r="W454" s="21" t="n">
        <v>0.00547879935778385</v>
      </c>
    </row>
    <row r="455" customFormat="false" ht="15" hidden="false" customHeight="false" outlineLevel="0" collapsed="false">
      <c r="V455" s="6" t="s">
        <v>1681</v>
      </c>
      <c r="W455" s="21" t="n">
        <v>0.00614145392540922</v>
      </c>
    </row>
    <row r="456" customFormat="false" ht="15" hidden="false" customHeight="false" outlineLevel="0" collapsed="false">
      <c r="V456" s="6" t="s">
        <v>1682</v>
      </c>
      <c r="W456" s="21" t="n">
        <v>0.00745196615926154</v>
      </c>
    </row>
    <row r="457" customFormat="false" ht="15" hidden="false" customHeight="false" outlineLevel="0" collapsed="false">
      <c r="V457" s="6" t="s">
        <v>1683</v>
      </c>
      <c r="W457" s="21" t="n">
        <v>0.0080998238254885</v>
      </c>
    </row>
    <row r="458" customFormat="false" ht="15" hidden="false" customHeight="false" outlineLevel="0" collapsed="false">
      <c r="V458" s="6" t="s">
        <v>1684</v>
      </c>
      <c r="W458" s="21" t="n">
        <v>0.00938074225654402</v>
      </c>
    </row>
    <row r="459" customFormat="false" ht="15" hidden="false" customHeight="false" outlineLevel="0" collapsed="false">
      <c r="V459" s="6" t="s">
        <v>1685</v>
      </c>
      <c r="W459" s="21" t="n">
        <v>0.010641931485735</v>
      </c>
    </row>
    <row r="460" customFormat="false" ht="15" hidden="false" customHeight="false" outlineLevel="0" collapsed="false">
      <c r="V460" s="6" t="s">
        <v>1686</v>
      </c>
      <c r="W460" s="21" t="n">
        <v>0.0131051223385233</v>
      </c>
    </row>
    <row r="461" customFormat="false" ht="15" hidden="false" customHeight="false" outlineLevel="0" collapsed="false">
      <c r="V461" s="6" t="s">
        <v>1687</v>
      </c>
      <c r="W461" s="21" t="n">
        <v>0.00610618797707635</v>
      </c>
    </row>
    <row r="462" customFormat="false" ht="15" hidden="false" customHeight="false" outlineLevel="0" collapsed="false">
      <c r="V462" s="6" t="s">
        <v>1688</v>
      </c>
      <c r="W462" s="21" t="n">
        <v>0.00684726612211325</v>
      </c>
    </row>
    <row r="463" customFormat="false" ht="15" hidden="false" customHeight="false" outlineLevel="0" collapsed="false">
      <c r="V463" s="6" t="s">
        <v>1689</v>
      </c>
      <c r="W463" s="21" t="n">
        <v>0.00831462551078872</v>
      </c>
    </row>
    <row r="464" customFormat="false" ht="15" hidden="false" customHeight="false" outlineLevel="0" collapsed="false">
      <c r="V464" s="6" t="s">
        <v>1690</v>
      </c>
      <c r="W464" s="21" t="n">
        <v>0.00904090675442723</v>
      </c>
    </row>
    <row r="465" customFormat="false" ht="15" hidden="false" customHeight="false" outlineLevel="0" collapsed="false">
      <c r="V465" s="6" t="s">
        <v>1691</v>
      </c>
      <c r="W465" s="21" t="n">
        <v>0.0104786723403059</v>
      </c>
    </row>
    <row r="466" customFormat="false" ht="15" hidden="false" customHeight="false" outlineLevel="0" collapsed="false">
      <c r="V466" s="6" t="s">
        <v>1692</v>
      </c>
      <c r="W466" s="21" t="n">
        <v>0.01189670872432</v>
      </c>
    </row>
    <row r="467" customFormat="false" ht="15" hidden="false" customHeight="false" outlineLevel="0" collapsed="false">
      <c r="V467" s="6" t="s">
        <v>1693</v>
      </c>
      <c r="W467" s="21" t="n">
        <v>0.0146735938867545</v>
      </c>
    </row>
    <row r="468" customFormat="false" ht="15" hidden="false" customHeight="false" outlineLevel="0" collapsed="false">
      <c r="V468" s="6" t="s">
        <v>1694</v>
      </c>
      <c r="W468" s="21" t="n">
        <v>0.00673160367618238</v>
      </c>
    </row>
    <row r="469" customFormat="false" ht="15" hidden="false" customHeight="false" outlineLevel="0" collapsed="false">
      <c r="V469" s="6" t="s">
        <v>1695</v>
      </c>
      <c r="W469" s="21" t="n">
        <v>0.00755085878360755</v>
      </c>
    </row>
    <row r="470" customFormat="false" ht="15" hidden="false" customHeight="false" outlineLevel="0" collapsed="false">
      <c r="V470" s="6" t="s">
        <v>1696</v>
      </c>
      <c r="W470" s="21" t="n">
        <v>0.00917457209705954</v>
      </c>
    </row>
    <row r="471" customFormat="false" ht="15" hidden="false" customHeight="false" outlineLevel="0" collapsed="false">
      <c r="V471" s="6" t="s">
        <v>1697</v>
      </c>
      <c r="W471" s="21" t="n">
        <v>0.00997903030308629</v>
      </c>
    </row>
    <row r="472" customFormat="false" ht="15" hidden="false" customHeight="false" outlineLevel="0" collapsed="false">
      <c r="V472" s="6" t="s">
        <v>1698</v>
      </c>
      <c r="W472" s="21" t="n">
        <v>0.0115731498137414</v>
      </c>
    </row>
    <row r="473" customFormat="false" ht="15" hidden="false" customHeight="false" outlineLevel="0" collapsed="false">
      <c r="V473" s="6" t="s">
        <v>1699</v>
      </c>
      <c r="W473" s="21" t="n">
        <v>0.0131475401225321</v>
      </c>
    </row>
    <row r="474" customFormat="false" ht="15" hidden="false" customHeight="false" outlineLevel="0" collapsed="false">
      <c r="V474" s="6" t="s">
        <v>1700</v>
      </c>
      <c r="W474" s="21" t="n">
        <v>0.0162371331345196</v>
      </c>
    </row>
    <row r="475" customFormat="false" ht="15" hidden="false" customHeight="false" outlineLevel="0" collapsed="false">
      <c r="V475" s="6" t="s">
        <v>1701</v>
      </c>
      <c r="W475" s="21" t="n">
        <v>0.00735899229547487</v>
      </c>
    </row>
    <row r="476" customFormat="false" ht="15" hidden="false" customHeight="false" outlineLevel="0" collapsed="false">
      <c r="V476" s="6" t="s">
        <v>1702</v>
      </c>
      <c r="W476" s="21" t="n">
        <v>0.0082566709803116</v>
      </c>
    </row>
    <row r="477" customFormat="false" ht="15" hidden="false" customHeight="false" outlineLevel="0" collapsed="false">
      <c r="V477" s="6" t="s">
        <v>1703</v>
      </c>
      <c r="W477" s="21" t="n">
        <v>0.0100372314485867</v>
      </c>
    </row>
    <row r="478" customFormat="false" ht="15" hidden="false" customHeight="false" outlineLevel="0" collapsed="false">
      <c r="V478" s="6" t="s">
        <v>1704</v>
      </c>
      <c r="W478" s="21" t="n">
        <v>0.010920113232025</v>
      </c>
    </row>
    <row r="479" customFormat="false" ht="15" hidden="false" customHeight="false" outlineLevel="0" collapsed="false">
      <c r="V479" s="6" t="s">
        <v>1705</v>
      </c>
      <c r="W479" s="21" t="n">
        <v>0.0126710798975033</v>
      </c>
    </row>
    <row r="480" customFormat="false" ht="15" hidden="false" customHeight="false" outlineLevel="0" collapsed="false">
      <c r="V480" s="6" t="s">
        <v>1706</v>
      </c>
      <c r="W480" s="21" t="n">
        <v>0.0144023173611171</v>
      </c>
    </row>
    <row r="481" customFormat="false" ht="15" hidden="false" customHeight="false" outlineLevel="0" collapsed="false">
      <c r="V481" s="6" t="s">
        <v>1707</v>
      </c>
      <c r="W481" s="21" t="n">
        <v>0.0178056046827509</v>
      </c>
    </row>
    <row r="482" customFormat="false" ht="15" hidden="false" customHeight="false" outlineLevel="0" collapsed="false">
      <c r="V482" s="6" t="s">
        <v>1708</v>
      </c>
      <c r="W482" s="21" t="n">
        <v>0.00798440799458093</v>
      </c>
    </row>
    <row r="483" customFormat="false" ht="15" hidden="false" customHeight="false" outlineLevel="0" collapsed="false">
      <c r="V483" s="6" t="s">
        <v>1709</v>
      </c>
      <c r="W483" s="21" t="n">
        <v>0.00896026364180593</v>
      </c>
    </row>
    <row r="484" customFormat="false" ht="15" hidden="false" customHeight="false" outlineLevel="0" collapsed="false">
      <c r="V484" s="6" t="s">
        <v>1710</v>
      </c>
      <c r="W484" s="21" t="n">
        <v>0.0108971780348575</v>
      </c>
    </row>
    <row r="485" customFormat="false" ht="15" hidden="false" customHeight="false" outlineLevel="0" collapsed="false">
      <c r="V485" s="6" t="s">
        <v>1711</v>
      </c>
      <c r="W485" s="21" t="n">
        <v>0.0118582367806841</v>
      </c>
    </row>
    <row r="486" customFormat="false" ht="15" hidden="false" customHeight="false" outlineLevel="0" collapsed="false">
      <c r="V486" s="6" t="s">
        <v>1712</v>
      </c>
      <c r="W486" s="21" t="n">
        <v>0.0137655573709389</v>
      </c>
    </row>
    <row r="487" customFormat="false" ht="15" hidden="false" customHeight="false" outlineLevel="0" collapsed="false">
      <c r="V487" s="6" t="s">
        <v>1713</v>
      </c>
      <c r="W487" s="21" t="n">
        <v>0.0156531487593292</v>
      </c>
    </row>
    <row r="488" customFormat="false" ht="15" hidden="false" customHeight="false" outlineLevel="0" collapsed="false">
      <c r="V488" s="6" t="s">
        <v>1714</v>
      </c>
      <c r="W488" s="21" t="n">
        <v>0.019369143930516</v>
      </c>
    </row>
    <row r="489" customFormat="false" ht="15" hidden="false" customHeight="false" outlineLevel="0" collapsed="false">
      <c r="V489" s="6" t="s">
        <v>1715</v>
      </c>
      <c r="W489" s="21" t="n">
        <v>0.00861179661387343</v>
      </c>
    </row>
    <row r="490" customFormat="false" ht="15" hidden="false" customHeight="false" outlineLevel="0" collapsed="false">
      <c r="V490" s="6" t="s">
        <v>1716</v>
      </c>
      <c r="W490" s="21" t="n">
        <v>0.00966607583850997</v>
      </c>
    </row>
    <row r="491" customFormat="false" ht="15" hidden="false" customHeight="false" outlineLevel="0" collapsed="false">
      <c r="V491" s="6" t="s">
        <v>1717</v>
      </c>
      <c r="W491" s="21" t="n">
        <v>0.0117598373863847</v>
      </c>
    </row>
    <row r="492" customFormat="false" ht="15" hidden="false" customHeight="false" outlineLevel="0" collapsed="false">
      <c r="V492" s="6" t="s">
        <v>1718</v>
      </c>
      <c r="W492" s="21" t="n">
        <v>0.0127993197096229</v>
      </c>
    </row>
    <row r="493" customFormat="false" ht="15" hidden="false" customHeight="false" outlineLevel="0" collapsed="false">
      <c r="V493" s="6" t="s">
        <v>1719</v>
      </c>
      <c r="W493" s="21" t="n">
        <v>0.0148634874547007</v>
      </c>
    </row>
    <row r="494" customFormat="false" ht="15" hidden="false" customHeight="false" outlineLevel="0" collapsed="false">
      <c r="V494" s="6" t="s">
        <v>1720</v>
      </c>
      <c r="W494" s="21" t="n">
        <v>0.0169079259979141</v>
      </c>
    </row>
    <row r="495" customFormat="false" ht="15" hidden="false" customHeight="false" outlineLevel="0" collapsed="false">
      <c r="V495" s="6" t="s">
        <v>1721</v>
      </c>
      <c r="W495" s="21" t="n">
        <v>0.0209376154787472</v>
      </c>
    </row>
    <row r="496" customFormat="false" ht="15" hidden="false" customHeight="false" outlineLevel="0" collapsed="false">
      <c r="V496" s="6" t="s">
        <v>1722</v>
      </c>
      <c r="W496" s="21" t="n">
        <v>0.00923721231297947</v>
      </c>
    </row>
    <row r="497" customFormat="false" ht="15" hidden="false" customHeight="false" outlineLevel="0" collapsed="false">
      <c r="V497" s="6" t="s">
        <v>1723</v>
      </c>
      <c r="W497" s="21" t="n">
        <v>0.0103696685000043</v>
      </c>
    </row>
    <row r="498" customFormat="false" ht="15" hidden="false" customHeight="false" outlineLevel="0" collapsed="false">
      <c r="V498" s="6" t="s">
        <v>1724</v>
      </c>
      <c r="W498" s="21" t="n">
        <v>0.0126197839726555</v>
      </c>
    </row>
    <row r="499" customFormat="false" ht="15" hidden="false" customHeight="false" outlineLevel="0" collapsed="false">
      <c r="V499" s="6" t="s">
        <v>1725</v>
      </c>
      <c r="W499" s="21" t="n">
        <v>0.0137374432582819</v>
      </c>
    </row>
    <row r="500" customFormat="false" ht="15" hidden="false" customHeight="false" outlineLevel="0" collapsed="false">
      <c r="V500" s="6" t="s">
        <v>1726</v>
      </c>
      <c r="W500" s="21" t="n">
        <v>0.0159579649281363</v>
      </c>
    </row>
    <row r="501" customFormat="false" ht="15" hidden="false" customHeight="false" outlineLevel="0" collapsed="false">
      <c r="V501" s="6" t="s">
        <v>1727</v>
      </c>
      <c r="W501" s="21" t="n">
        <v>0.0181587573961262</v>
      </c>
    </row>
    <row r="502" customFormat="false" ht="15" hidden="false" customHeight="false" outlineLevel="0" collapsed="false">
      <c r="V502" s="6" t="s">
        <v>1728</v>
      </c>
      <c r="W502" s="21" t="n">
        <v>0.0225011547265123</v>
      </c>
    </row>
    <row r="503" customFormat="false" ht="15" hidden="false" customHeight="false" outlineLevel="0" collapsed="false">
      <c r="V503" s="6" t="s">
        <v>1729</v>
      </c>
      <c r="W503" s="21" t="n">
        <v>0.00986460093227195</v>
      </c>
    </row>
    <row r="504" customFormat="false" ht="15" hidden="false" customHeight="false" outlineLevel="0" collapsed="false">
      <c r="V504" s="6" t="s">
        <v>1730</v>
      </c>
      <c r="W504" s="21" t="n">
        <v>0.0110754806967083</v>
      </c>
    </row>
    <row r="505" customFormat="false" ht="15" hidden="false" customHeight="false" outlineLevel="0" collapsed="false">
      <c r="V505" s="6" t="s">
        <v>1731</v>
      </c>
      <c r="W505" s="21" t="n">
        <v>0.0134824433241827</v>
      </c>
    </row>
    <row r="506" customFormat="false" ht="15" hidden="false" customHeight="false" outlineLevel="0" collapsed="false">
      <c r="V506" s="6" t="s">
        <v>1732</v>
      </c>
      <c r="W506" s="21" t="n">
        <v>0.0146785261872207</v>
      </c>
    </row>
    <row r="507" customFormat="false" ht="15" hidden="false" customHeight="false" outlineLevel="0" collapsed="false">
      <c r="V507" s="6" t="s">
        <v>1733</v>
      </c>
      <c r="W507" s="21" t="n">
        <v>0.0170558950118982</v>
      </c>
    </row>
    <row r="508" customFormat="false" ht="15" hidden="false" customHeight="false" outlineLevel="0" collapsed="false">
      <c r="V508" s="6" t="s">
        <v>1734</v>
      </c>
      <c r="W508" s="21" t="n">
        <v>0.0194135346347112</v>
      </c>
    </row>
    <row r="509" customFormat="false" ht="15" hidden="false" customHeight="false" outlineLevel="0" collapsed="false">
      <c r="V509" s="6" t="s">
        <v>1735</v>
      </c>
      <c r="W509" s="21" t="n">
        <v>0.0240696262747436</v>
      </c>
    </row>
    <row r="510" customFormat="false" ht="15" hidden="false" customHeight="false" outlineLevel="0" collapsed="false">
      <c r="V510" s="6" t="s">
        <v>1736</v>
      </c>
      <c r="W510" s="21" t="n">
        <v>0.0297787640642959</v>
      </c>
    </row>
    <row r="511" customFormat="false" ht="15" hidden="false" customHeight="false" outlineLevel="0" collapsed="false">
      <c r="V511" s="6" t="s">
        <v>1737</v>
      </c>
      <c r="W511" s="21" t="n">
        <v>0.0375644003500916</v>
      </c>
    </row>
    <row r="512" customFormat="false" ht="15" hidden="false" customHeight="false" outlineLevel="0" collapsed="false">
      <c r="V512" s="6" t="s">
        <v>1738</v>
      </c>
      <c r="W512" s="21" t="n">
        <v>0.0117790733582026</v>
      </c>
    </row>
    <row r="513" customFormat="false" ht="15" hidden="false" customHeight="false" outlineLevel="0" collapsed="false">
      <c r="V513" s="6" t="s">
        <v>1739</v>
      </c>
      <c r="W513" s="21" t="n">
        <v>0.0143423899104536</v>
      </c>
    </row>
    <row r="514" customFormat="false" ht="15" hidden="false" customHeight="false" outlineLevel="0" collapsed="false">
      <c r="V514" s="6" t="s">
        <v>1740</v>
      </c>
      <c r="W514" s="21" t="n">
        <v>0.0156166497358798</v>
      </c>
    </row>
    <row r="515" customFormat="false" ht="15" hidden="false" customHeight="false" outlineLevel="0" collapsed="false">
      <c r="V515" s="6" t="s">
        <v>1741</v>
      </c>
      <c r="W515" s="21" t="n">
        <v>0.0181503724853338</v>
      </c>
    </row>
    <row r="516" customFormat="false" ht="15" hidden="false" customHeight="false" outlineLevel="0" collapsed="false">
      <c r="V516" s="6" t="s">
        <v>1742</v>
      </c>
      <c r="W516" s="21" t="n">
        <v>0.0206643660329233</v>
      </c>
    </row>
    <row r="517" customFormat="false" ht="15" hidden="false" customHeight="false" outlineLevel="0" collapsed="false">
      <c r="V517" s="6" t="s">
        <v>1743</v>
      </c>
      <c r="W517" s="21" t="n">
        <v>0.0256331655225087</v>
      </c>
    </row>
    <row r="518" customFormat="false" ht="15" hidden="false" customHeight="false" outlineLevel="0" collapsed="false">
      <c r="V518" s="6" t="s">
        <v>1744</v>
      </c>
      <c r="W518" s="21" t="n">
        <v>0.0124848855549067</v>
      </c>
    </row>
    <row r="519" customFormat="false" ht="15" hidden="false" customHeight="false" outlineLevel="0" collapsed="false">
      <c r="V519" s="6" t="s">
        <v>1745</v>
      </c>
      <c r="W519" s="21" t="n">
        <v>0.0152050492619808</v>
      </c>
    </row>
    <row r="520" customFormat="false" ht="15" hidden="false" customHeight="false" outlineLevel="0" collapsed="false">
      <c r="V520" s="6" t="s">
        <v>1746</v>
      </c>
      <c r="W520" s="21" t="n">
        <v>0.0165577326648185</v>
      </c>
    </row>
    <row r="521" customFormat="false" ht="15" hidden="false" customHeight="false" outlineLevel="0" collapsed="false">
      <c r="V521" s="6" t="s">
        <v>1747</v>
      </c>
      <c r="W521" s="21" t="n">
        <v>0.0192483025690956</v>
      </c>
    </row>
    <row r="522" customFormat="false" ht="15" hidden="false" customHeight="false" outlineLevel="0" collapsed="false">
      <c r="V522" s="6" t="s">
        <v>1748</v>
      </c>
      <c r="W522" s="21" t="n">
        <v>0.0219191432715083</v>
      </c>
    </row>
    <row r="523" customFormat="false" ht="15" hidden="false" customHeight="false" outlineLevel="0" collapsed="false">
      <c r="V523" s="6" t="s">
        <v>1749</v>
      </c>
      <c r="W523" s="21" t="n">
        <v>0.02720163707074</v>
      </c>
    </row>
    <row r="524" customFormat="false" ht="15" hidden="false" customHeight="false" outlineLevel="0" collapsed="false">
      <c r="V524" s="6" t="s">
        <v>1750</v>
      </c>
      <c r="W524" s="21" t="n">
        <v>0.0336937775592914</v>
      </c>
    </row>
    <row r="525" customFormat="false" ht="15" hidden="false" customHeight="false" outlineLevel="0" collapsed="false">
      <c r="V525" s="6" t="s">
        <v>1751</v>
      </c>
      <c r="W525" s="21" t="n">
        <v>0.0425756176236857</v>
      </c>
    </row>
    <row r="526" customFormat="false" ht="15" hidden="false" customHeight="false" outlineLevel="0" collapsed="false">
      <c r="V526" s="6" t="s">
        <v>1752</v>
      </c>
      <c r="W526" s="21" t="n">
        <v>0.0231699746697204</v>
      </c>
    </row>
    <row r="527" customFormat="false" ht="15" hidden="false" customHeight="false" outlineLevel="0" collapsed="false">
      <c r="V527" s="6" t="s">
        <v>1753</v>
      </c>
      <c r="W527" s="21" t="n">
        <v>0.028765176318505</v>
      </c>
    </row>
    <row r="528" customFormat="false" ht="15" hidden="false" customHeight="false" outlineLevel="0" collapsed="false">
      <c r="V528" s="6" t="s">
        <v>1754</v>
      </c>
      <c r="W528" s="21" t="n">
        <v>0.0403929513599089</v>
      </c>
    </row>
    <row r="529" customFormat="false" ht="15" hidden="false" customHeight="false" outlineLevel="0" collapsed="false">
      <c r="V529" s="6" t="s">
        <v>1755</v>
      </c>
      <c r="W529" s="21" t="n">
        <v>0.0450772804201099</v>
      </c>
    </row>
    <row r="530" customFormat="false" ht="15" hidden="false" customHeight="false" outlineLevel="0" collapsed="false">
      <c r="V530" s="6" t="s">
        <v>1756</v>
      </c>
      <c r="W530" s="21" t="n">
        <v>0.0214407101262931</v>
      </c>
    </row>
    <row r="531" customFormat="false" ht="15" hidden="false" customHeight="false" outlineLevel="0" collapsed="false">
      <c r="V531" s="6" t="s">
        <v>1757</v>
      </c>
      <c r="W531" s="21" t="n">
        <v>0.0244247519083054</v>
      </c>
    </row>
    <row r="532" customFormat="false" ht="15" hidden="false" customHeight="false" outlineLevel="0" collapsed="false">
      <c r="V532" s="6" t="s">
        <v>1758</v>
      </c>
      <c r="W532" s="21" t="n">
        <v>0.0863286740146475</v>
      </c>
    </row>
    <row r="533" customFormat="false" ht="15" hidden="false" customHeight="false" outlineLevel="0" collapsed="false">
      <c r="V533" s="6" t="s">
        <v>1759</v>
      </c>
      <c r="W533" s="21" t="n">
        <v>0.0167131001295017</v>
      </c>
    </row>
    <row r="534" customFormat="false" ht="15" hidden="false" customHeight="false" outlineLevel="0" collapsed="false">
      <c r="V534" s="6" t="s">
        <v>1760</v>
      </c>
      <c r="W534" s="21" t="n">
        <v>0.0203728670753746</v>
      </c>
    </row>
    <row r="535" customFormat="false" ht="15" hidden="false" customHeight="false" outlineLevel="0" collapsed="false">
      <c r="V535" s="6" t="s">
        <v>1761</v>
      </c>
      <c r="W535" s="21" t="n">
        <v>0.0221953520976119</v>
      </c>
    </row>
    <row r="536" customFormat="false" ht="15" hidden="false" customHeight="false" outlineLevel="0" collapsed="false">
      <c r="V536" s="6" t="s">
        <v>1762</v>
      </c>
      <c r="W536" s="21" t="n">
        <v>0.0258255252406879</v>
      </c>
    </row>
    <row r="537" customFormat="false" ht="15" hidden="false" customHeight="false" outlineLevel="0" collapsed="false">
      <c r="V537" s="6" t="s">
        <v>1763</v>
      </c>
      <c r="W537" s="21" t="n">
        <v>0.0294359691818995</v>
      </c>
    </row>
    <row r="538" customFormat="false" ht="15" hidden="false" customHeight="false" outlineLevel="0" collapsed="false">
      <c r="V538" s="6" t="s">
        <v>1764</v>
      </c>
      <c r="W538" s="21" t="n">
        <v>0.0365976694587289</v>
      </c>
    </row>
    <row r="539" customFormat="false" ht="15" hidden="false" customHeight="false" outlineLevel="0" collapsed="false">
      <c r="V539" s="6" t="s">
        <v>1765</v>
      </c>
      <c r="W539" s="21" t="n">
        <v>0.0454388180442776</v>
      </c>
    </row>
    <row r="540" customFormat="false" ht="15" hidden="false" customHeight="false" outlineLevel="0" collapsed="false">
      <c r="V540" s="6" t="s">
        <v>1766</v>
      </c>
      <c r="W540" s="21" t="n">
        <v>0.051554254084728</v>
      </c>
    </row>
    <row r="541" customFormat="false" ht="15" hidden="false" customHeight="false" outlineLevel="0" collapsed="false">
      <c r="V541" s="6" t="s">
        <v>1767</v>
      </c>
      <c r="W541" s="21" t="n">
        <v>0.0576092694444682</v>
      </c>
    </row>
    <row r="542" customFormat="false" ht="15" hidden="false" customHeight="false" outlineLevel="0" collapsed="false">
      <c r="V542" s="6" t="s">
        <v>1768</v>
      </c>
      <c r="W542" s="21" t="n">
        <v>0.0259537650528076</v>
      </c>
    </row>
    <row r="543" customFormat="false" ht="15" hidden="false" customHeight="false" outlineLevel="0" collapsed="false">
      <c r="V543" s="6" t="s">
        <v>1769</v>
      </c>
      <c r="W543" s="21" t="n">
        <v>0.0302103403550828</v>
      </c>
    </row>
    <row r="544" customFormat="false" ht="15" hidden="false" customHeight="false" outlineLevel="0" collapsed="false">
      <c r="V544" s="6" t="s">
        <v>1770</v>
      </c>
      <c r="W544" s="21" t="n">
        <v>0.0344471864554937</v>
      </c>
    </row>
    <row r="545" customFormat="false" ht="15" hidden="false" customHeight="false" outlineLevel="0" collapsed="false">
      <c r="V545" s="6" t="s">
        <v>1771</v>
      </c>
      <c r="W545" s="21" t="n">
        <v>0.0428616910507217</v>
      </c>
    </row>
    <row r="546" customFormat="false" ht="15" hidden="false" customHeight="false" outlineLevel="0" collapsed="false">
      <c r="V546" s="6" t="s">
        <v>1772</v>
      </c>
      <c r="W546" s="21" t="n">
        <v>0.0532688450342686</v>
      </c>
    </row>
    <row r="547" customFormat="false" ht="15" hidden="false" customHeight="false" outlineLevel="0" collapsed="false">
      <c r="V547" s="6" t="s">
        <v>1773</v>
      </c>
      <c r="W547" s="21" t="n">
        <v>0.0676317039916566</v>
      </c>
    </row>
    <row r="548" customFormat="false" ht="15" hidden="false" customHeight="false" outlineLevel="0" collapsed="false">
      <c r="V548" s="6" t="s">
        <v>1774</v>
      </c>
      <c r="W548" s="21" t="n">
        <v>0.0757305413570519</v>
      </c>
    </row>
    <row r="549" customFormat="false" ht="15" hidden="false" customHeight="false" outlineLevel="0" collapsed="false">
      <c r="V549" s="6" t="s">
        <v>1775</v>
      </c>
      <c r="W549" s="21" t="n">
        <v>0.11293017342617</v>
      </c>
    </row>
    <row r="550" customFormat="false" ht="15" hidden="false" customHeight="false" outlineLevel="0" collapsed="false">
      <c r="V550" s="6" t="s">
        <v>1776</v>
      </c>
      <c r="W550" s="21" t="n">
        <v>0.0369409575711721</v>
      </c>
    </row>
    <row r="551" customFormat="false" ht="15" hidden="false" customHeight="false" outlineLevel="0" collapsed="false">
      <c r="V551" s="6" t="s">
        <v>1777</v>
      </c>
      <c r="W551" s="21" t="n">
        <v>0.0459789049453197</v>
      </c>
    </row>
    <row r="552" customFormat="false" ht="15" hidden="false" customHeight="false" outlineLevel="0" collapsed="false">
      <c r="V552" s="6" t="s">
        <v>1778</v>
      </c>
      <c r="W552" s="21" t="n">
        <v>0.0571653624025161</v>
      </c>
    </row>
    <row r="553" customFormat="false" ht="15" hidden="false" customHeight="false" outlineLevel="0" collapsed="false">
      <c r="V553" s="6" t="s">
        <v>1779</v>
      </c>
      <c r="W553" s="21" t="n">
        <v>0.0726192462230134</v>
      </c>
    </row>
  </sheetData>
  <mergeCells count="12">
    <mergeCell ref="A1:AD1"/>
    <mergeCell ref="A2:AD2"/>
    <mergeCell ref="A3:E3"/>
    <mergeCell ref="G3:I3"/>
    <mergeCell ref="K3:M3"/>
    <mergeCell ref="Q3:T3"/>
    <mergeCell ref="V3:W3"/>
    <mergeCell ref="K17:M17"/>
    <mergeCell ref="K32:O32"/>
    <mergeCell ref="K41:N41"/>
    <mergeCell ref="K47:O47"/>
    <mergeCell ref="K60:M6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T5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5" min="3" style="0" width="11"/>
    <col collapsed="false" customWidth="true" hidden="false" outlineLevel="0" max="6" min="6" style="0" width="3"/>
    <col collapsed="false" customWidth="true" hidden="false" outlineLevel="0" max="7" min="7" style="0" width="30"/>
    <col collapsed="false" customWidth="true" hidden="false" outlineLevel="0" max="13" min="8" style="0" width="11"/>
    <col collapsed="false" customWidth="true" hidden="false" outlineLevel="0" max="14" min="14" style="0" width="3"/>
    <col collapsed="false" customWidth="true" hidden="false" outlineLevel="0" max="15" min="15" style="0" width="44"/>
    <col collapsed="false" customWidth="true" hidden="false" outlineLevel="0" max="16" min="16" style="0" width="11"/>
  </cols>
  <sheetData>
    <row r="1" customFormat="false" ht="27.75" hidden="false" customHeight="true" outlineLevel="0" collapsed="false">
      <c r="A1" s="1" t="s">
        <v>1780</v>
      </c>
      <c r="B1" s="1"/>
      <c r="C1" s="1"/>
      <c r="D1" s="1"/>
      <c r="E1" s="1"/>
      <c r="F1" s="1"/>
      <c r="G1" s="1"/>
      <c r="H1" s="1"/>
      <c r="I1" s="1"/>
      <c r="J1" s="1"/>
      <c r="K1" s="1"/>
      <c r="L1" s="1"/>
      <c r="M1" s="1"/>
      <c r="N1" s="1"/>
      <c r="O1" s="1"/>
      <c r="P1" s="1"/>
      <c r="Q1" s="1"/>
      <c r="R1" s="1"/>
      <c r="S1" s="1"/>
      <c r="T1" s="1"/>
    </row>
    <row r="2" customFormat="false" ht="30" hidden="false" customHeight="true" outlineLevel="0" collapsed="false">
      <c r="A2" s="2" t="s">
        <v>1781</v>
      </c>
      <c r="B2" s="2"/>
      <c r="C2" s="2"/>
      <c r="D2" s="2"/>
      <c r="E2" s="2"/>
      <c r="F2" s="2"/>
      <c r="G2" s="2"/>
      <c r="H2" s="2"/>
      <c r="I2" s="2"/>
      <c r="J2" s="2"/>
      <c r="K2" s="2"/>
      <c r="L2" s="2"/>
      <c r="M2" s="2"/>
      <c r="N2" s="2"/>
      <c r="O2" s="2"/>
      <c r="P2" s="2"/>
      <c r="Q2" s="2"/>
      <c r="R2" s="2"/>
      <c r="S2" s="2"/>
      <c r="T2" s="2"/>
    </row>
    <row r="4" customFormat="false" ht="19.5" hidden="false" customHeight="true" outlineLevel="0" collapsed="false">
      <c r="B4" s="3" t="s">
        <v>1782</v>
      </c>
      <c r="C4" s="3"/>
      <c r="D4" s="3"/>
      <c r="E4" s="3"/>
      <c r="G4" s="3" t="s">
        <v>1783</v>
      </c>
      <c r="H4" s="3"/>
      <c r="I4" s="3"/>
      <c r="J4" s="3"/>
      <c r="K4" s="3"/>
      <c r="L4" s="3"/>
      <c r="M4" s="3"/>
    </row>
    <row r="5" customFormat="false" ht="21.75" hidden="false" customHeight="true" outlineLevel="0" collapsed="false">
      <c r="B5" s="11" t="s">
        <v>1784</v>
      </c>
      <c r="C5" s="11" t="s">
        <v>1785</v>
      </c>
      <c r="D5" s="11" t="s">
        <v>1786</v>
      </c>
      <c r="E5" s="11" t="s">
        <v>1787</v>
      </c>
      <c r="G5" s="11" t="s">
        <v>1788</v>
      </c>
      <c r="H5" s="11" t="s">
        <v>1789</v>
      </c>
      <c r="I5" s="11" t="s">
        <v>1790</v>
      </c>
      <c r="J5" s="11" t="s">
        <v>1791</v>
      </c>
      <c r="K5" s="11" t="s">
        <v>1792</v>
      </c>
      <c r="L5" s="11" t="s">
        <v>1793</v>
      </c>
      <c r="M5" s="11" t="s">
        <v>1794</v>
      </c>
      <c r="N5" s="11" t="s">
        <v>1795</v>
      </c>
      <c r="O5" s="11" t="s">
        <v>1796</v>
      </c>
    </row>
    <row r="6" customFormat="false" ht="15" hidden="false" customHeight="false" outlineLevel="0" collapsed="false">
      <c r="B6" s="6" t="s">
        <v>1797</v>
      </c>
      <c r="C6" s="21" t="n">
        <v>0</v>
      </c>
      <c r="D6" s="21" t="n">
        <v>1.5</v>
      </c>
      <c r="E6" s="21" t="n">
        <v>2.5</v>
      </c>
      <c r="G6" s="21" t="n">
        <v>1</v>
      </c>
      <c r="H6" s="21" t="n">
        <v>0.08</v>
      </c>
      <c r="I6" s="21" t="n">
        <v>3</v>
      </c>
      <c r="J6" s="21" t="n">
        <v>0.09</v>
      </c>
      <c r="K6" s="21" t="n">
        <v>0.13</v>
      </c>
      <c r="L6" s="21" t="n">
        <v>0.12</v>
      </c>
      <c r="M6" s="21" t="n">
        <v>0.18</v>
      </c>
      <c r="N6" s="21" t="n">
        <v>0.19</v>
      </c>
      <c r="O6" s="21" t="n">
        <v>0.26</v>
      </c>
    </row>
    <row r="7" customFormat="false" ht="15" hidden="false" customHeight="false" outlineLevel="0" collapsed="false">
      <c r="B7" s="6" t="s">
        <v>1798</v>
      </c>
      <c r="C7" s="21" t="n">
        <v>7</v>
      </c>
      <c r="D7" s="21" t="n">
        <v>5.5</v>
      </c>
      <c r="E7" s="21" t="n">
        <v>3</v>
      </c>
      <c r="G7" s="21" t="n">
        <v>2</v>
      </c>
      <c r="H7" s="21" t="n">
        <v>0.15</v>
      </c>
      <c r="I7" s="21" t="n">
        <v>5</v>
      </c>
      <c r="J7" s="21" t="n">
        <v>0.18</v>
      </c>
      <c r="K7" s="21" t="n">
        <v>0.25</v>
      </c>
      <c r="L7" s="21" t="n">
        <v>0.22</v>
      </c>
      <c r="M7" s="21" t="n">
        <v>0.32</v>
      </c>
      <c r="N7" s="21" t="n">
        <v>0.3</v>
      </c>
      <c r="O7" s="21" t="n">
        <v>0.5</v>
      </c>
    </row>
    <row r="8" customFormat="false" ht="15" hidden="false" customHeight="false" outlineLevel="0" collapsed="false">
      <c r="B8" s="6" t="s">
        <v>1799</v>
      </c>
      <c r="C8" s="21" t="n">
        <v>6</v>
      </c>
      <c r="D8" s="21" t="n">
        <v>5</v>
      </c>
      <c r="E8" s="21" t="n">
        <v>2.5</v>
      </c>
      <c r="G8" s="21" t="n">
        <v>3</v>
      </c>
      <c r="H8" s="21" t="n">
        <v>0.25</v>
      </c>
      <c r="I8" s="21" t="n">
        <v>8</v>
      </c>
      <c r="J8" s="21" t="n">
        <v>0.29</v>
      </c>
      <c r="K8" s="21" t="n">
        <v>0.39</v>
      </c>
      <c r="L8" s="21" t="n">
        <v>0.32</v>
      </c>
      <c r="M8" s="21" t="n">
        <v>0.47</v>
      </c>
      <c r="N8" s="21" t="n">
        <v>0.35</v>
      </c>
      <c r="O8" s="21" t="n">
        <v>0.74</v>
      </c>
    </row>
    <row r="9" customFormat="false" ht="15" hidden="false" customHeight="false" outlineLevel="0" collapsed="false">
      <c r="B9" s="6" t="s">
        <v>1800</v>
      </c>
      <c r="C9" s="21" t="n">
        <v>4</v>
      </c>
      <c r="D9" s="21" t="n">
        <v>4</v>
      </c>
      <c r="E9" s="21" t="n">
        <v>2.5</v>
      </c>
      <c r="G9" s="21" t="n">
        <v>4</v>
      </c>
      <c r="H9" s="21" t="n">
        <v>0.35</v>
      </c>
      <c r="I9" s="21" t="n">
        <v>13</v>
      </c>
      <c r="J9" s="21" t="n">
        <v>0.37</v>
      </c>
      <c r="K9" s="21" t="n">
        <v>0.51</v>
      </c>
      <c r="L9" s="21" t="n">
        <v>0.4</v>
      </c>
      <c r="M9" s="21" t="n">
        <v>0.59</v>
      </c>
      <c r="N9" s="21" t="n">
        <v>0.36</v>
      </c>
      <c r="O9" s="21" t="n">
        <v>0.9</v>
      </c>
    </row>
    <row r="10" customFormat="false" ht="30" hidden="false" customHeight="true" outlineLevel="0" collapsed="false">
      <c r="B10" s="6" t="s">
        <v>1801</v>
      </c>
      <c r="C10" s="21" t="n">
        <v>6</v>
      </c>
      <c r="D10" s="21" t="n">
        <v>4</v>
      </c>
      <c r="E10" s="21" t="n">
        <v>2.5</v>
      </c>
      <c r="G10" s="2" t="s">
        <v>1802</v>
      </c>
      <c r="H10" s="2"/>
      <c r="I10" s="2"/>
      <c r="J10" s="2"/>
      <c r="K10" s="2"/>
      <c r="L10" s="2"/>
      <c r="M10" s="2"/>
      <c r="N10" s="2"/>
      <c r="O10" s="2"/>
    </row>
    <row r="11" customFormat="false" ht="15" hidden="false" customHeight="false" outlineLevel="0" collapsed="false">
      <c r="B11" s="6" t="s">
        <v>1803</v>
      </c>
      <c r="C11" s="21" t="n">
        <v>2.5</v>
      </c>
      <c r="D11" s="21" t="n">
        <v>2.5</v>
      </c>
      <c r="E11" s="21" t="n">
        <v>1.5</v>
      </c>
    </row>
    <row r="12" customFormat="false" ht="19.5" hidden="false" customHeight="true" outlineLevel="0" collapsed="false">
      <c r="B12" s="6" t="s">
        <v>1804</v>
      </c>
      <c r="C12" s="21" t="n">
        <v>3.5</v>
      </c>
      <c r="D12" s="21" t="n">
        <v>3.5</v>
      </c>
      <c r="E12" s="21" t="n">
        <v>2.5</v>
      </c>
      <c r="G12" s="3" t="s">
        <v>1805</v>
      </c>
      <c r="H12" s="3"/>
      <c r="I12" s="3"/>
      <c r="J12" s="3"/>
      <c r="K12" s="3"/>
      <c r="L12" s="3"/>
      <c r="M12" s="3"/>
    </row>
    <row r="13" customFormat="false" ht="21.75" hidden="false" customHeight="true" outlineLevel="0" collapsed="false">
      <c r="B13" s="6" t="s">
        <v>437</v>
      </c>
      <c r="C13" s="21" t="n">
        <v>3</v>
      </c>
      <c r="D13" s="21" t="n">
        <v>2.3</v>
      </c>
      <c r="E13" s="21" t="n">
        <v>2.5</v>
      </c>
      <c r="G13" s="11" t="s">
        <v>1788</v>
      </c>
      <c r="H13" s="11" t="s">
        <v>529</v>
      </c>
      <c r="I13" s="11" t="s">
        <v>1806</v>
      </c>
      <c r="J13" s="11" t="s">
        <v>1807</v>
      </c>
      <c r="K13" s="11" t="s">
        <v>1808</v>
      </c>
    </row>
    <row r="14" customFormat="false" ht="15" hidden="false" customHeight="false" outlineLevel="0" collapsed="false">
      <c r="B14" s="6" t="s">
        <v>1809</v>
      </c>
      <c r="C14" s="21" t="n">
        <v>3.5</v>
      </c>
      <c r="D14" s="21" t="n">
        <v>2.5</v>
      </c>
      <c r="E14" s="21" t="n">
        <v>2.5</v>
      </c>
      <c r="G14" s="21" t="n">
        <v>1</v>
      </c>
      <c r="H14" s="21" t="n">
        <v>1</v>
      </c>
      <c r="I14" s="14" t="n">
        <f aca="false">G14*10+H14</f>
        <v>11</v>
      </c>
      <c r="J14" s="21" t="n">
        <v>0.09</v>
      </c>
      <c r="K14" s="21" t="n">
        <v>0.13</v>
      </c>
    </row>
    <row r="15" customFormat="false" ht="15" hidden="false" customHeight="false" outlineLevel="0" collapsed="false">
      <c r="B15" s="6" t="s">
        <v>1810</v>
      </c>
      <c r="C15" s="21" t="n">
        <v>4</v>
      </c>
      <c r="D15" s="21" t="n">
        <v>3</v>
      </c>
      <c r="E15" s="21" t="n">
        <v>2.5</v>
      </c>
      <c r="G15" s="21" t="n">
        <v>1</v>
      </c>
      <c r="H15" s="21" t="n">
        <v>2</v>
      </c>
      <c r="I15" s="14" t="n">
        <f aca="false">G15*10+H15</f>
        <v>12</v>
      </c>
      <c r="J15" s="21" t="n">
        <v>0.12</v>
      </c>
      <c r="K15" s="21" t="n">
        <v>0.18</v>
      </c>
    </row>
    <row r="16" customFormat="false" ht="15" hidden="false" customHeight="false" outlineLevel="0" collapsed="false">
      <c r="B16" s="6" t="s">
        <v>1811</v>
      </c>
      <c r="C16" s="21" t="n">
        <v>1.5</v>
      </c>
      <c r="D16" s="21" t="n">
        <v>2</v>
      </c>
      <c r="E16" s="21" t="n">
        <v>2</v>
      </c>
      <c r="G16" s="21" t="n">
        <v>1</v>
      </c>
      <c r="H16" s="21" t="n">
        <v>3</v>
      </c>
      <c r="I16" s="14" t="n">
        <f aca="false">G16*10+H16</f>
        <v>13</v>
      </c>
      <c r="J16" s="21" t="n">
        <v>0.19</v>
      </c>
      <c r="K16" s="21" t="n">
        <v>0.26</v>
      </c>
    </row>
    <row r="17" customFormat="false" ht="15" hidden="false" customHeight="false" outlineLevel="0" collapsed="false">
      <c r="B17" s="6" t="s">
        <v>1812</v>
      </c>
      <c r="C17" s="21" t="n">
        <v>2</v>
      </c>
      <c r="D17" s="21" t="n">
        <v>2.3</v>
      </c>
      <c r="E17" s="21" t="n">
        <v>2.5</v>
      </c>
      <c r="G17" s="21" t="n">
        <v>2</v>
      </c>
      <c r="H17" s="21" t="n">
        <v>1</v>
      </c>
      <c r="I17" s="14" t="n">
        <f aca="false">G17*10+H17</f>
        <v>21</v>
      </c>
      <c r="J17" s="21" t="n">
        <v>0.18</v>
      </c>
      <c r="K17" s="21" t="n">
        <v>0.25</v>
      </c>
    </row>
    <row r="18" customFormat="false" ht="15" hidden="false" customHeight="false" outlineLevel="0" collapsed="false">
      <c r="B18" s="6" t="s">
        <v>1813</v>
      </c>
      <c r="C18" s="21" t="n">
        <v>2.5</v>
      </c>
      <c r="D18" s="21" t="n">
        <v>2.5</v>
      </c>
      <c r="E18" s="21" t="n">
        <v>2.5</v>
      </c>
      <c r="G18" s="21" t="n">
        <v>2</v>
      </c>
      <c r="H18" s="21" t="n">
        <v>2</v>
      </c>
      <c r="I18" s="14" t="n">
        <f aca="false">G18*10+H18</f>
        <v>22</v>
      </c>
      <c r="J18" s="21" t="n">
        <v>0.22</v>
      </c>
      <c r="K18" s="21" t="n">
        <v>0.32</v>
      </c>
    </row>
    <row r="19" customFormat="false" ht="15" hidden="false" customHeight="false" outlineLevel="0" collapsed="false">
      <c r="B19" s="6" t="s">
        <v>1814</v>
      </c>
      <c r="C19" s="21" t="n">
        <v>3</v>
      </c>
      <c r="D19" s="21" t="n">
        <v>3</v>
      </c>
      <c r="E19" s="21" t="n">
        <v>2.5</v>
      </c>
      <c r="G19" s="21" t="n">
        <v>2</v>
      </c>
      <c r="H19" s="21" t="n">
        <v>3</v>
      </c>
      <c r="I19" s="14" t="n">
        <f aca="false">G19*10+H19</f>
        <v>23</v>
      </c>
      <c r="J19" s="21" t="n">
        <v>0.3</v>
      </c>
      <c r="K19" s="21" t="n">
        <v>0.5</v>
      </c>
    </row>
    <row r="20" customFormat="false" ht="15" hidden="false" customHeight="false" outlineLevel="0" collapsed="false">
      <c r="B20" s="6" t="s">
        <v>1815</v>
      </c>
      <c r="C20" s="21" t="n">
        <v>2.5</v>
      </c>
      <c r="D20" s="21" t="n">
        <v>2.3</v>
      </c>
      <c r="E20" s="21" t="n">
        <v>2.5</v>
      </c>
      <c r="G20" s="21" t="n">
        <v>3</v>
      </c>
      <c r="H20" s="21" t="n">
        <v>1</v>
      </c>
      <c r="I20" s="14" t="n">
        <f aca="false">G20*10+H20</f>
        <v>31</v>
      </c>
      <c r="J20" s="21" t="n">
        <v>0.29</v>
      </c>
      <c r="K20" s="21" t="n">
        <v>0.39</v>
      </c>
    </row>
    <row r="21" customFormat="false" ht="15" hidden="false" customHeight="false" outlineLevel="0" collapsed="false">
      <c r="B21" s="6" t="s">
        <v>1816</v>
      </c>
      <c r="C21" s="21" t="n">
        <v>3</v>
      </c>
      <c r="D21" s="21" t="n">
        <v>2.5</v>
      </c>
      <c r="E21" s="21" t="n">
        <v>2.5</v>
      </c>
      <c r="G21" s="21" t="n">
        <v>3</v>
      </c>
      <c r="H21" s="21" t="n">
        <v>2</v>
      </c>
      <c r="I21" s="14" t="n">
        <f aca="false">G21*10+H21</f>
        <v>32</v>
      </c>
      <c r="J21" s="21" t="n">
        <v>0.32</v>
      </c>
      <c r="K21" s="21" t="n">
        <v>0.47</v>
      </c>
    </row>
    <row r="22" customFormat="false" ht="15" hidden="false" customHeight="false" outlineLevel="0" collapsed="false">
      <c r="B22" s="6" t="s">
        <v>1817</v>
      </c>
      <c r="C22" s="21" t="n">
        <v>3.5</v>
      </c>
      <c r="D22" s="21" t="n">
        <v>3</v>
      </c>
      <c r="E22" s="21" t="n">
        <v>2.5</v>
      </c>
      <c r="G22" s="21" t="n">
        <v>3</v>
      </c>
      <c r="H22" s="21" t="n">
        <v>3</v>
      </c>
      <c r="I22" s="14" t="n">
        <f aca="false">G22*10+H22</f>
        <v>33</v>
      </c>
      <c r="J22" s="21" t="n">
        <v>0.35</v>
      </c>
      <c r="K22" s="21" t="n">
        <v>0.74</v>
      </c>
    </row>
    <row r="23" customFormat="false" ht="15" hidden="false" customHeight="false" outlineLevel="0" collapsed="false">
      <c r="B23" s="6" t="s">
        <v>1818</v>
      </c>
      <c r="C23" s="21" t="n">
        <v>7</v>
      </c>
      <c r="D23" s="21" t="n">
        <v>5.5</v>
      </c>
      <c r="E23" s="21" t="n">
        <v>3</v>
      </c>
      <c r="G23" s="21" t="n">
        <v>4</v>
      </c>
      <c r="H23" s="21" t="n">
        <v>1</v>
      </c>
      <c r="I23" s="14" t="n">
        <f aca="false">G23*10+H23</f>
        <v>41</v>
      </c>
      <c r="J23" s="21" t="n">
        <v>0.37</v>
      </c>
      <c r="K23" s="21" t="n">
        <v>0.51</v>
      </c>
    </row>
    <row r="24" customFormat="false" ht="15" hidden="false" customHeight="false" outlineLevel="0" collapsed="false">
      <c r="B24" s="6" t="s">
        <v>1819</v>
      </c>
      <c r="C24" s="21" t="n">
        <v>4.5</v>
      </c>
      <c r="D24" s="21" t="n">
        <v>4</v>
      </c>
      <c r="E24" s="21" t="n">
        <v>3</v>
      </c>
      <c r="G24" s="21" t="n">
        <v>4</v>
      </c>
      <c r="H24" s="21" t="n">
        <v>2</v>
      </c>
      <c r="I24" s="14" t="n">
        <f aca="false">G24*10+H24</f>
        <v>42</v>
      </c>
      <c r="J24" s="21" t="n">
        <v>0.4</v>
      </c>
      <c r="K24" s="21" t="n">
        <v>0.59</v>
      </c>
    </row>
    <row r="25" customFormat="false" ht="15" hidden="false" customHeight="false" outlineLevel="0" collapsed="false">
      <c r="B25" s="6" t="s">
        <v>1820</v>
      </c>
      <c r="C25" s="21" t="n">
        <v>3</v>
      </c>
      <c r="D25" s="21" t="n">
        <v>3</v>
      </c>
      <c r="E25" s="21" t="n">
        <v>3</v>
      </c>
      <c r="G25" s="21" t="n">
        <v>4</v>
      </c>
      <c r="H25" s="21" t="n">
        <v>3</v>
      </c>
      <c r="I25" s="14" t="n">
        <f aca="false">G25*10+H25</f>
        <v>43</v>
      </c>
      <c r="J25" s="21" t="n">
        <v>0.36</v>
      </c>
      <c r="K25" s="21" t="n">
        <v>0.9</v>
      </c>
    </row>
    <row r="26" customFormat="false" ht="15" hidden="false" customHeight="false" outlineLevel="0" collapsed="false">
      <c r="B26" s="6" t="s">
        <v>1821</v>
      </c>
      <c r="C26" s="21" t="n">
        <v>6</v>
      </c>
      <c r="D26" s="21" t="n">
        <v>5.5</v>
      </c>
      <c r="E26" s="21" t="n">
        <v>3</v>
      </c>
    </row>
    <row r="27" customFormat="false" ht="15" hidden="false" customHeight="false" outlineLevel="0" collapsed="false">
      <c r="B27" s="6" t="s">
        <v>1822</v>
      </c>
      <c r="C27" s="21" t="n">
        <v>5</v>
      </c>
      <c r="D27" s="21" t="n">
        <v>5.5</v>
      </c>
      <c r="E27" s="21" t="n">
        <v>2</v>
      </c>
    </row>
    <row r="28" customFormat="false" ht="19.5" hidden="false" customHeight="true" outlineLevel="0" collapsed="false">
      <c r="B28" s="6" t="s">
        <v>1823</v>
      </c>
      <c r="C28" s="21" t="n">
        <v>3</v>
      </c>
      <c r="D28" s="21" t="n">
        <v>3</v>
      </c>
      <c r="E28" s="21" t="n">
        <v>2</v>
      </c>
      <c r="G28" s="3" t="s">
        <v>1824</v>
      </c>
      <c r="H28" s="3"/>
      <c r="I28" s="3"/>
    </row>
    <row r="29" customFormat="false" ht="21.75" hidden="false" customHeight="true" outlineLevel="0" collapsed="false">
      <c r="B29" s="6" t="s">
        <v>1825</v>
      </c>
      <c r="C29" s="21" t="n">
        <v>7</v>
      </c>
      <c r="D29" s="21" t="n">
        <v>4</v>
      </c>
      <c r="E29" s="21" t="n">
        <v>2</v>
      </c>
      <c r="G29" s="11" t="s">
        <v>1788</v>
      </c>
      <c r="H29" s="11" t="s">
        <v>1826</v>
      </c>
    </row>
    <row r="30" customFormat="false" ht="15" hidden="false" customHeight="false" outlineLevel="0" collapsed="false">
      <c r="B30" s="6" t="s">
        <v>1827</v>
      </c>
      <c r="C30" s="21" t="n">
        <v>6</v>
      </c>
      <c r="D30" s="21" t="n">
        <v>5.5</v>
      </c>
      <c r="E30" s="21" t="n">
        <v>2.5</v>
      </c>
      <c r="G30" s="21" t="n">
        <v>1</v>
      </c>
      <c r="H30" s="21" t="n">
        <v>1.7</v>
      </c>
    </row>
    <row r="31" customFormat="false" ht="15" hidden="false" customHeight="false" outlineLevel="0" collapsed="false">
      <c r="B31" s="6" t="s">
        <v>1828</v>
      </c>
      <c r="C31" s="21" t="n">
        <v>4</v>
      </c>
      <c r="D31" s="21" t="n">
        <v>4</v>
      </c>
      <c r="E31" s="21" t="n">
        <v>2.5</v>
      </c>
      <c r="G31" s="21" t="n">
        <v>2</v>
      </c>
      <c r="H31" s="21" t="n">
        <v>1.6</v>
      </c>
    </row>
    <row r="32" customFormat="false" ht="15" hidden="false" customHeight="false" outlineLevel="0" collapsed="false">
      <c r="B32" s="6" t="s">
        <v>1829</v>
      </c>
      <c r="C32" s="21" t="n">
        <v>7</v>
      </c>
      <c r="D32" s="21" t="n">
        <v>4</v>
      </c>
      <c r="E32" s="21" t="n">
        <v>2.5</v>
      </c>
      <c r="G32" s="21" t="n">
        <v>3</v>
      </c>
      <c r="H32" s="21" t="n">
        <v>1.45</v>
      </c>
    </row>
    <row r="33" customFormat="false" ht="15" hidden="false" customHeight="false" outlineLevel="0" collapsed="false">
      <c r="B33" s="6" t="s">
        <v>1830</v>
      </c>
      <c r="C33" s="21" t="n">
        <v>5</v>
      </c>
      <c r="D33" s="21" t="n">
        <v>5</v>
      </c>
      <c r="E33" s="21" t="n">
        <v>2.5</v>
      </c>
      <c r="G33" s="21" t="n">
        <v>4</v>
      </c>
      <c r="H33" s="21" t="n">
        <v>1.4</v>
      </c>
    </row>
    <row r="34" customFormat="false" ht="15" hidden="false" customHeight="false" outlineLevel="0" collapsed="false">
      <c r="B34" s="6" t="s">
        <v>1831</v>
      </c>
      <c r="C34" s="21" t="n">
        <v>3.5</v>
      </c>
      <c r="D34" s="21" t="n">
        <v>3</v>
      </c>
      <c r="E34" s="21" t="n">
        <v>2.5</v>
      </c>
    </row>
    <row r="35" customFormat="false" ht="15" hidden="false" customHeight="false" outlineLevel="0" collapsed="false">
      <c r="B35" s="6" t="s">
        <v>1832</v>
      </c>
      <c r="C35" s="21" t="n">
        <v>2.5</v>
      </c>
      <c r="D35" s="21" t="n">
        <v>2.5</v>
      </c>
      <c r="E35" s="21" t="n">
        <v>1.5</v>
      </c>
    </row>
    <row r="36" customFormat="false" ht="19.5" hidden="false" customHeight="true" outlineLevel="0" collapsed="false">
      <c r="B36" s="6" t="s">
        <v>1833</v>
      </c>
      <c r="C36" s="21" t="n">
        <v>4</v>
      </c>
      <c r="D36" s="21" t="n">
        <v>3</v>
      </c>
      <c r="E36" s="21" t="n">
        <v>3</v>
      </c>
      <c r="G36" s="3" t="s">
        <v>1834</v>
      </c>
      <c r="H36" s="3"/>
      <c r="I36" s="3"/>
      <c r="J36" s="3"/>
    </row>
    <row r="37" customFormat="false" ht="21.75" hidden="false" customHeight="true" outlineLevel="0" collapsed="false">
      <c r="B37" s="6" t="s">
        <v>1835</v>
      </c>
      <c r="C37" s="21" t="n">
        <v>3</v>
      </c>
      <c r="D37" s="21" t="n">
        <v>3</v>
      </c>
      <c r="E37" s="21" t="n">
        <v>2.5</v>
      </c>
      <c r="G37" s="11" t="s">
        <v>1836</v>
      </c>
      <c r="H37" s="11" t="s">
        <v>1837</v>
      </c>
      <c r="I37" s="11" t="s">
        <v>1838</v>
      </c>
    </row>
    <row r="38" customFormat="false" ht="23.85" hidden="false" customHeight="false" outlineLevel="0" collapsed="false">
      <c r="B38" s="6" t="s">
        <v>1839</v>
      </c>
      <c r="C38" s="21" t="n">
        <v>3</v>
      </c>
      <c r="D38" s="21" t="n">
        <v>3</v>
      </c>
      <c r="E38" s="21" t="n">
        <v>2.5</v>
      </c>
      <c r="G38" s="6" t="s">
        <v>1840</v>
      </c>
      <c r="H38" s="21" t="n">
        <v>0.0466</v>
      </c>
      <c r="I38" s="21" t="n">
        <v>0.9</v>
      </c>
    </row>
    <row r="39" customFormat="false" ht="23.85" hidden="false" customHeight="false" outlineLevel="0" collapsed="false">
      <c r="B39" s="6" t="s">
        <v>1841</v>
      </c>
      <c r="C39" s="21" t="n">
        <v>2.5</v>
      </c>
      <c r="D39" s="21" t="n">
        <v>2.5</v>
      </c>
      <c r="E39" s="21" t="n">
        <v>2.5</v>
      </c>
      <c r="G39" s="6" t="s">
        <v>1842</v>
      </c>
      <c r="H39" s="21" t="n">
        <v>0.0724</v>
      </c>
      <c r="I39" s="21" t="n">
        <v>0.8</v>
      </c>
    </row>
    <row r="40" customFormat="false" ht="23.85" hidden="false" customHeight="false" outlineLevel="0" collapsed="false">
      <c r="B40" s="6" t="s">
        <v>1843</v>
      </c>
      <c r="C40" s="21" t="n">
        <v>5</v>
      </c>
      <c r="D40" s="21" t="n">
        <v>4</v>
      </c>
      <c r="E40" s="21" t="n">
        <v>2.5</v>
      </c>
      <c r="G40" s="6" t="s">
        <v>1844</v>
      </c>
      <c r="H40" s="21" t="n">
        <v>0.0731</v>
      </c>
      <c r="I40" s="21" t="n">
        <v>0.75</v>
      </c>
    </row>
    <row r="41" customFormat="false" ht="23.85" hidden="false" customHeight="false" outlineLevel="0" collapsed="false">
      <c r="B41" s="6" t="s">
        <v>1845</v>
      </c>
      <c r="C41" s="21" t="n">
        <v>4</v>
      </c>
      <c r="D41" s="21" t="n">
        <v>5</v>
      </c>
      <c r="E41" s="21" t="n">
        <v>2.5</v>
      </c>
      <c r="G41" s="6" t="s">
        <v>445</v>
      </c>
      <c r="H41" s="21" t="n">
        <v>0.0488</v>
      </c>
      <c r="I41" s="21" t="n">
        <v>0.75</v>
      </c>
    </row>
    <row r="42" customFormat="false" ht="27.75" hidden="false" customHeight="true" outlineLevel="0" collapsed="false">
      <c r="B42" s="2" t="s">
        <v>1846</v>
      </c>
      <c r="C42" s="2"/>
      <c r="D42" s="2"/>
      <c r="E42" s="2"/>
    </row>
    <row r="44" customFormat="false" ht="19.5" hidden="false" customHeight="true" outlineLevel="0" collapsed="false">
      <c r="G44" s="3" t="s">
        <v>1847</v>
      </c>
      <c r="H44" s="3"/>
    </row>
    <row r="45" customFormat="false" ht="21.75" hidden="false" customHeight="true" outlineLevel="0" collapsed="false">
      <c r="G45" s="11" t="s">
        <v>685</v>
      </c>
      <c r="H45" s="11" t="s">
        <v>1848</v>
      </c>
    </row>
    <row r="46" customFormat="false" ht="15" hidden="false" customHeight="false" outlineLevel="0" collapsed="false">
      <c r="G46" s="6" t="s">
        <v>1849</v>
      </c>
      <c r="H46" s="21" t="n">
        <v>1.5</v>
      </c>
    </row>
    <row r="47" customFormat="false" ht="15" hidden="false" customHeight="false" outlineLevel="0" collapsed="false">
      <c r="G47" s="6" t="s">
        <v>1850</v>
      </c>
      <c r="H47" s="21" t="n">
        <v>1.3</v>
      </c>
    </row>
    <row r="48" customFormat="false" ht="15" hidden="false" customHeight="false" outlineLevel="0" collapsed="false">
      <c r="G48" s="6" t="s">
        <v>434</v>
      </c>
      <c r="H48" s="21" t="n">
        <v>1</v>
      </c>
    </row>
    <row r="49" customFormat="false" ht="15" hidden="false" customHeight="false" outlineLevel="0" collapsed="false">
      <c r="G49" s="6" t="s">
        <v>1851</v>
      </c>
      <c r="H49" s="21" t="n">
        <v>0.8</v>
      </c>
    </row>
    <row r="52" customFormat="false" ht="19.5" hidden="false" customHeight="true" outlineLevel="0" collapsed="false">
      <c r="G52" s="3" t="s">
        <v>1852</v>
      </c>
      <c r="H52" s="3"/>
    </row>
    <row r="53" customFormat="false" ht="21.75" hidden="false" customHeight="true" outlineLevel="0" collapsed="false">
      <c r="G53" s="11" t="s">
        <v>686</v>
      </c>
      <c r="H53" s="11" t="s">
        <v>474</v>
      </c>
    </row>
    <row r="54" customFormat="false" ht="15" hidden="false" customHeight="false" outlineLevel="0" collapsed="false">
      <c r="G54" s="6" t="s">
        <v>480</v>
      </c>
      <c r="H54" s="21" t="n">
        <v>0</v>
      </c>
    </row>
    <row r="55" customFormat="false" ht="15" hidden="false" customHeight="false" outlineLevel="0" collapsed="false">
      <c r="G55" s="6" t="s">
        <v>1853</v>
      </c>
      <c r="H55" s="21" t="n">
        <v>0.25</v>
      </c>
    </row>
    <row r="56" customFormat="false" ht="15" hidden="false" customHeight="false" outlineLevel="0" collapsed="false">
      <c r="G56" s="6" t="s">
        <v>1854</v>
      </c>
      <c r="H56" s="21" t="n">
        <v>0.5</v>
      </c>
    </row>
    <row r="57" customFormat="false" ht="15" hidden="false" customHeight="false" outlineLevel="0" collapsed="false">
      <c r="G57" s="6" t="s">
        <v>1855</v>
      </c>
      <c r="H57" s="21" t="n">
        <v>1</v>
      </c>
    </row>
  </sheetData>
  <mergeCells count="11">
    <mergeCell ref="A1:T1"/>
    <mergeCell ref="A2:T2"/>
    <mergeCell ref="B4:E4"/>
    <mergeCell ref="G4:M4"/>
    <mergeCell ref="G10:O10"/>
    <mergeCell ref="G12:M12"/>
    <mergeCell ref="G28:I28"/>
    <mergeCell ref="G36:J36"/>
    <mergeCell ref="B42:E42"/>
    <mergeCell ref="G44:H44"/>
    <mergeCell ref="G52:H5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H4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11"/>
    <col collapsed="false" customWidth="true" hidden="false" outlineLevel="0" max="4" min="4" style="0" width="28"/>
    <col collapsed="false" customWidth="true" hidden="false" outlineLevel="0" max="5" min="5" style="0" width="16"/>
    <col collapsed="false" customWidth="true" hidden="false" outlineLevel="0" max="7" min="6" style="0" width="62"/>
    <col collapsed="false" customWidth="true" hidden="false" outlineLevel="0" max="8" min="8" style="0" width="28"/>
  </cols>
  <sheetData>
    <row r="1" customFormat="false" ht="27.75" hidden="false" customHeight="true" outlineLevel="0" collapsed="false">
      <c r="A1" s="1" t="s">
        <v>1856</v>
      </c>
      <c r="B1" s="1"/>
      <c r="C1" s="1"/>
      <c r="D1" s="1"/>
      <c r="E1" s="1"/>
      <c r="F1" s="1"/>
      <c r="G1" s="1"/>
      <c r="H1" s="62"/>
    </row>
    <row r="2" customFormat="false" ht="30" hidden="false" customHeight="true" outlineLevel="0" collapsed="false">
      <c r="A2" s="2" t="s">
        <v>1857</v>
      </c>
      <c r="B2" s="2"/>
      <c r="C2" s="2"/>
      <c r="D2" s="2"/>
      <c r="E2" s="2"/>
      <c r="F2" s="2"/>
      <c r="G2" s="2"/>
    </row>
    <row r="4" customFormat="false" ht="27.75" hidden="false" customHeight="true" outlineLevel="0" collapsed="false">
      <c r="B4" s="11" t="s">
        <v>682</v>
      </c>
      <c r="C4" s="11" t="s">
        <v>1858</v>
      </c>
      <c r="D4" s="11" t="s">
        <v>1859</v>
      </c>
      <c r="E4" s="11" t="s">
        <v>1860</v>
      </c>
      <c r="F4" s="11" t="s">
        <v>1861</v>
      </c>
      <c r="G4" s="11" t="s">
        <v>1862</v>
      </c>
      <c r="H4" s="11" t="s">
        <v>1863</v>
      </c>
    </row>
    <row r="5" customFormat="false" ht="30" hidden="false" customHeight="true" outlineLevel="0" collapsed="false">
      <c r="B5" s="21" t="n">
        <v>1</v>
      </c>
      <c r="C5" s="63" t="s">
        <v>1864</v>
      </c>
      <c r="D5" s="6" t="s">
        <v>1865</v>
      </c>
      <c r="E5" s="21" t="s">
        <v>1866</v>
      </c>
      <c r="F5" s="6" t="s">
        <v>1867</v>
      </c>
      <c r="G5" s="6" t="s">
        <v>1868</v>
      </c>
      <c r="H5" s="6" t="s">
        <v>1869</v>
      </c>
    </row>
    <row r="6" customFormat="false" ht="30" hidden="false" customHeight="true" outlineLevel="0" collapsed="false">
      <c r="B6" s="21" t="n">
        <v>2</v>
      </c>
      <c r="C6" s="63" t="s">
        <v>1864</v>
      </c>
      <c r="D6" s="6" t="s">
        <v>1865</v>
      </c>
      <c r="E6" s="21" t="s">
        <v>1870</v>
      </c>
      <c r="F6" s="6" t="s">
        <v>1871</v>
      </c>
      <c r="G6" s="6" t="s">
        <v>1872</v>
      </c>
      <c r="H6" s="6" t="s">
        <v>1873</v>
      </c>
    </row>
    <row r="7" customFormat="false" ht="30" hidden="false" customHeight="true" outlineLevel="0" collapsed="false">
      <c r="B7" s="21" t="n">
        <v>3</v>
      </c>
      <c r="C7" s="63" t="s">
        <v>1864</v>
      </c>
      <c r="D7" s="6" t="s">
        <v>1874</v>
      </c>
      <c r="E7" s="21" t="s">
        <v>1875</v>
      </c>
      <c r="F7" s="6" t="s">
        <v>1876</v>
      </c>
      <c r="G7" s="6" t="s">
        <v>1877</v>
      </c>
      <c r="H7" s="6" t="s">
        <v>1878</v>
      </c>
    </row>
    <row r="8" customFormat="false" ht="45" hidden="false" customHeight="true" outlineLevel="0" collapsed="false">
      <c r="B8" s="21" t="n">
        <v>4</v>
      </c>
      <c r="C8" s="63" t="s">
        <v>1864</v>
      </c>
      <c r="D8" s="6" t="s">
        <v>1879</v>
      </c>
      <c r="E8" s="21" t="s">
        <v>1880</v>
      </c>
      <c r="F8" s="6" t="s">
        <v>1881</v>
      </c>
      <c r="G8" s="6" t="s">
        <v>1882</v>
      </c>
      <c r="H8" s="6" t="s">
        <v>1883</v>
      </c>
    </row>
    <row r="9" customFormat="false" ht="30" hidden="false" customHeight="true" outlineLevel="0" collapsed="false">
      <c r="B9" s="21" t="n">
        <v>5</v>
      </c>
      <c r="C9" s="64" t="s">
        <v>1884</v>
      </c>
      <c r="D9" s="6" t="s">
        <v>1879</v>
      </c>
      <c r="E9" s="21" t="s">
        <v>1885</v>
      </c>
      <c r="F9" s="6" t="s">
        <v>1886</v>
      </c>
      <c r="G9" s="6" t="s">
        <v>1887</v>
      </c>
      <c r="H9" s="6" t="s">
        <v>1888</v>
      </c>
    </row>
    <row r="10" customFormat="false" ht="30" hidden="false" customHeight="true" outlineLevel="0" collapsed="false">
      <c r="B10" s="21" t="n">
        <v>6</v>
      </c>
      <c r="C10" s="63" t="s">
        <v>1864</v>
      </c>
      <c r="D10" s="6" t="s">
        <v>1889</v>
      </c>
      <c r="E10" s="21" t="s">
        <v>1890</v>
      </c>
      <c r="F10" s="6" t="s">
        <v>1891</v>
      </c>
      <c r="G10" s="6" t="s">
        <v>1892</v>
      </c>
      <c r="H10" s="6" t="s">
        <v>1893</v>
      </c>
    </row>
    <row r="11" customFormat="false" ht="30" hidden="false" customHeight="true" outlineLevel="0" collapsed="false">
      <c r="B11" s="21" t="n">
        <v>7</v>
      </c>
      <c r="C11" s="64" t="s">
        <v>1884</v>
      </c>
      <c r="D11" s="6" t="s">
        <v>1889</v>
      </c>
      <c r="E11" s="21" t="s">
        <v>1894</v>
      </c>
      <c r="F11" s="6" t="s">
        <v>1895</v>
      </c>
      <c r="G11" s="6" t="s">
        <v>1896</v>
      </c>
      <c r="H11" s="6" t="s">
        <v>1897</v>
      </c>
    </row>
    <row r="12" customFormat="false" ht="30" hidden="false" customHeight="true" outlineLevel="0" collapsed="false">
      <c r="B12" s="21" t="n">
        <v>8</v>
      </c>
      <c r="C12" s="64" t="s">
        <v>1884</v>
      </c>
      <c r="D12" s="6" t="s">
        <v>1889</v>
      </c>
      <c r="E12" s="21" t="s">
        <v>1898</v>
      </c>
      <c r="F12" s="6" t="s">
        <v>1899</v>
      </c>
      <c r="G12" s="6" t="s">
        <v>1900</v>
      </c>
      <c r="H12" s="6"/>
    </row>
    <row r="13" customFormat="false" ht="30" hidden="false" customHeight="true" outlineLevel="0" collapsed="false">
      <c r="B13" s="21" t="n">
        <v>9</v>
      </c>
      <c r="C13" s="64" t="s">
        <v>1884</v>
      </c>
      <c r="D13" s="6" t="s">
        <v>1889</v>
      </c>
      <c r="E13" s="21" t="s">
        <v>1901</v>
      </c>
      <c r="F13" s="6" t="s">
        <v>1902</v>
      </c>
      <c r="G13" s="6" t="s">
        <v>1903</v>
      </c>
      <c r="H13" s="6" t="s">
        <v>1904</v>
      </c>
    </row>
    <row r="14" customFormat="false" ht="30" hidden="false" customHeight="true" outlineLevel="0" collapsed="false">
      <c r="B14" s="21" t="n">
        <v>10</v>
      </c>
      <c r="C14" s="63" t="s">
        <v>1864</v>
      </c>
      <c r="D14" s="6" t="s">
        <v>1905</v>
      </c>
      <c r="E14" s="21" t="s">
        <v>1906</v>
      </c>
      <c r="F14" s="6" t="s">
        <v>1907</v>
      </c>
      <c r="G14" s="6" t="s">
        <v>1908</v>
      </c>
      <c r="H14" s="6" t="s">
        <v>1909</v>
      </c>
    </row>
    <row r="15" customFormat="false" ht="45" hidden="false" customHeight="true" outlineLevel="0" collapsed="false">
      <c r="B15" s="21" t="n">
        <v>11</v>
      </c>
      <c r="C15" s="64" t="s">
        <v>1884</v>
      </c>
      <c r="D15" s="6" t="s">
        <v>1910</v>
      </c>
      <c r="E15" s="21" t="s">
        <v>1911</v>
      </c>
      <c r="F15" s="6" t="s">
        <v>1912</v>
      </c>
      <c r="G15" s="6" t="s">
        <v>1913</v>
      </c>
      <c r="H15" s="6"/>
    </row>
    <row r="16" customFormat="false" ht="30" hidden="false" customHeight="true" outlineLevel="0" collapsed="false">
      <c r="B16" s="21" t="n">
        <v>12</v>
      </c>
      <c r="C16" s="64" t="s">
        <v>1884</v>
      </c>
      <c r="D16" s="6" t="s">
        <v>1914</v>
      </c>
      <c r="E16" s="21" t="s">
        <v>1915</v>
      </c>
      <c r="F16" s="6" t="s">
        <v>1916</v>
      </c>
      <c r="G16" s="6" t="s">
        <v>1917</v>
      </c>
      <c r="H16" s="6"/>
    </row>
    <row r="17" customFormat="false" ht="30" hidden="false" customHeight="true" outlineLevel="0" collapsed="false">
      <c r="B17" s="21" t="n">
        <v>13</v>
      </c>
      <c r="C17" s="64" t="s">
        <v>1884</v>
      </c>
      <c r="D17" s="6" t="s">
        <v>1914</v>
      </c>
      <c r="E17" s="21" t="s">
        <v>1918</v>
      </c>
      <c r="F17" s="6" t="s">
        <v>1919</v>
      </c>
      <c r="G17" s="6" t="s">
        <v>1920</v>
      </c>
      <c r="H17" s="6" t="s">
        <v>1873</v>
      </c>
    </row>
    <row r="18" customFormat="false" ht="30" hidden="false" customHeight="true" outlineLevel="0" collapsed="false">
      <c r="B18" s="21" t="n">
        <v>14</v>
      </c>
      <c r="C18" s="64" t="s">
        <v>1884</v>
      </c>
      <c r="D18" s="6" t="s">
        <v>1921</v>
      </c>
      <c r="E18" s="21" t="s">
        <v>1922</v>
      </c>
      <c r="F18" s="6" t="s">
        <v>1923</v>
      </c>
      <c r="G18" s="6" t="s">
        <v>1924</v>
      </c>
      <c r="H18" s="6" t="s">
        <v>1925</v>
      </c>
    </row>
    <row r="19" customFormat="false" ht="30" hidden="false" customHeight="true" outlineLevel="0" collapsed="false">
      <c r="B19" s="21" t="n">
        <v>15</v>
      </c>
      <c r="C19" s="63" t="s">
        <v>1864</v>
      </c>
      <c r="D19" s="6" t="s">
        <v>1926</v>
      </c>
      <c r="E19" s="21" t="s">
        <v>1927</v>
      </c>
      <c r="F19" s="6" t="s">
        <v>1928</v>
      </c>
      <c r="G19" s="6" t="s">
        <v>1929</v>
      </c>
      <c r="H19" s="6" t="s">
        <v>1930</v>
      </c>
    </row>
    <row r="20" customFormat="false" ht="45" hidden="false" customHeight="true" outlineLevel="0" collapsed="false">
      <c r="B20" s="21" t="n">
        <v>16</v>
      </c>
      <c r="C20" s="64" t="s">
        <v>1884</v>
      </c>
      <c r="D20" s="6" t="s">
        <v>1931</v>
      </c>
      <c r="E20" s="21" t="s">
        <v>1932</v>
      </c>
      <c r="F20" s="6" t="s">
        <v>1933</v>
      </c>
      <c r="G20" s="6" t="s">
        <v>1934</v>
      </c>
      <c r="H20" s="6" t="s">
        <v>1935</v>
      </c>
    </row>
    <row r="21" customFormat="false" ht="30" hidden="false" customHeight="true" outlineLevel="0" collapsed="false">
      <c r="B21" s="21" t="n">
        <v>17</v>
      </c>
      <c r="C21" s="65" t="s">
        <v>1936</v>
      </c>
      <c r="D21" s="6" t="s">
        <v>1926</v>
      </c>
      <c r="E21" s="21" t="s">
        <v>1937</v>
      </c>
      <c r="F21" s="6" t="s">
        <v>1938</v>
      </c>
      <c r="G21" s="6" t="s">
        <v>1939</v>
      </c>
      <c r="H21" s="6"/>
    </row>
    <row r="22" customFormat="false" ht="30" hidden="false" customHeight="true" outlineLevel="0" collapsed="false">
      <c r="B22" s="21" t="n">
        <v>18</v>
      </c>
      <c r="C22" s="64" t="s">
        <v>1884</v>
      </c>
      <c r="D22" s="6" t="s">
        <v>1940</v>
      </c>
      <c r="E22" s="21" t="s">
        <v>1941</v>
      </c>
      <c r="F22" s="6" t="s">
        <v>1942</v>
      </c>
      <c r="G22" s="6" t="s">
        <v>1943</v>
      </c>
      <c r="H22" s="6"/>
    </row>
    <row r="23" customFormat="false" ht="30" hidden="false" customHeight="true" outlineLevel="0" collapsed="false">
      <c r="B23" s="21" t="n">
        <v>19</v>
      </c>
      <c r="C23" s="63" t="s">
        <v>1864</v>
      </c>
      <c r="D23" s="6" t="s">
        <v>1944</v>
      </c>
      <c r="E23" s="21" t="s">
        <v>1945</v>
      </c>
      <c r="F23" s="6" t="s">
        <v>1946</v>
      </c>
      <c r="G23" s="6" t="s">
        <v>1947</v>
      </c>
      <c r="H23" s="6" t="s">
        <v>1948</v>
      </c>
    </row>
    <row r="24" customFormat="false" ht="30" hidden="false" customHeight="true" outlineLevel="0" collapsed="false">
      <c r="B24" s="21" t="n">
        <v>20</v>
      </c>
      <c r="C24" s="63" t="s">
        <v>1864</v>
      </c>
      <c r="D24" s="6" t="s">
        <v>1949</v>
      </c>
      <c r="E24" s="21" t="s">
        <v>1950</v>
      </c>
      <c r="F24" s="6" t="s">
        <v>1951</v>
      </c>
      <c r="G24" s="6" t="s">
        <v>1952</v>
      </c>
      <c r="H24" s="6"/>
    </row>
    <row r="25" customFormat="false" ht="45" hidden="false" customHeight="true" outlineLevel="0" collapsed="false">
      <c r="B25" s="21" t="n">
        <v>21</v>
      </c>
      <c r="C25" s="63" t="s">
        <v>1864</v>
      </c>
      <c r="D25" s="6" t="s">
        <v>1953</v>
      </c>
      <c r="E25" s="21" t="s">
        <v>1954</v>
      </c>
      <c r="F25" s="6" t="s">
        <v>1955</v>
      </c>
      <c r="G25" s="6" t="s">
        <v>1956</v>
      </c>
      <c r="H25" s="6"/>
    </row>
    <row r="26" customFormat="false" ht="30" hidden="false" customHeight="true" outlineLevel="0" collapsed="false">
      <c r="B26" s="21" t="n">
        <v>22</v>
      </c>
      <c r="C26" s="63" t="s">
        <v>1864</v>
      </c>
      <c r="D26" s="6" t="s">
        <v>1953</v>
      </c>
      <c r="E26" s="21" t="s">
        <v>1957</v>
      </c>
      <c r="F26" s="6" t="s">
        <v>1958</v>
      </c>
      <c r="G26" s="6" t="s">
        <v>1959</v>
      </c>
      <c r="H26" s="6" t="s">
        <v>1883</v>
      </c>
    </row>
    <row r="27" customFormat="false" ht="30" hidden="false" customHeight="true" outlineLevel="0" collapsed="false">
      <c r="B27" s="21" t="n">
        <v>23</v>
      </c>
      <c r="C27" s="63" t="s">
        <v>1864</v>
      </c>
      <c r="D27" s="6" t="s">
        <v>1953</v>
      </c>
      <c r="E27" s="21" t="s">
        <v>1960</v>
      </c>
      <c r="F27" s="6" t="s">
        <v>1961</v>
      </c>
      <c r="G27" s="6" t="s">
        <v>1962</v>
      </c>
      <c r="H27" s="6" t="s">
        <v>1963</v>
      </c>
    </row>
    <row r="28" customFormat="false" ht="30" hidden="false" customHeight="true" outlineLevel="0" collapsed="false">
      <c r="B28" s="21" t="n">
        <v>24</v>
      </c>
      <c r="C28" s="64" t="s">
        <v>1884</v>
      </c>
      <c r="D28" s="6" t="s">
        <v>1953</v>
      </c>
      <c r="E28" s="21" t="s">
        <v>1964</v>
      </c>
      <c r="F28" s="6" t="s">
        <v>1965</v>
      </c>
      <c r="G28" s="6" t="s">
        <v>1966</v>
      </c>
      <c r="H28" s="6" t="s">
        <v>1967</v>
      </c>
    </row>
    <row r="29" customFormat="false" ht="30" hidden="false" customHeight="true" outlineLevel="0" collapsed="false">
      <c r="B29" s="21" t="n">
        <v>25</v>
      </c>
      <c r="C29" s="63" t="s">
        <v>1864</v>
      </c>
      <c r="D29" s="6" t="s">
        <v>1949</v>
      </c>
      <c r="E29" s="21" t="s">
        <v>1968</v>
      </c>
      <c r="F29" s="6" t="s">
        <v>1969</v>
      </c>
      <c r="G29" s="6" t="s">
        <v>1970</v>
      </c>
      <c r="H29" s="6" t="s">
        <v>1971</v>
      </c>
    </row>
    <row r="30" customFormat="false" ht="30" hidden="false" customHeight="true" outlineLevel="0" collapsed="false">
      <c r="B30" s="21" t="n">
        <v>26</v>
      </c>
      <c r="C30" s="65" t="s">
        <v>1936</v>
      </c>
      <c r="D30" s="6" t="s">
        <v>1949</v>
      </c>
      <c r="E30" s="21" t="s">
        <v>1972</v>
      </c>
      <c r="F30" s="6" t="s">
        <v>1973</v>
      </c>
      <c r="G30" s="6" t="s">
        <v>1974</v>
      </c>
      <c r="H30" s="6" t="s">
        <v>1975</v>
      </c>
    </row>
    <row r="31" customFormat="false" ht="30" hidden="false" customHeight="true" outlineLevel="0" collapsed="false">
      <c r="B31" s="21" t="n">
        <v>27</v>
      </c>
      <c r="C31" s="63" t="s">
        <v>1864</v>
      </c>
      <c r="D31" s="6" t="s">
        <v>1976</v>
      </c>
      <c r="E31" s="21" t="s">
        <v>1977</v>
      </c>
      <c r="F31" s="6" t="s">
        <v>1978</v>
      </c>
      <c r="G31" s="6" t="s">
        <v>1979</v>
      </c>
      <c r="H31" s="6"/>
    </row>
    <row r="32" customFormat="false" ht="30" hidden="false" customHeight="true" outlineLevel="0" collapsed="false">
      <c r="B32" s="21" t="n">
        <v>28</v>
      </c>
      <c r="C32" s="63" t="s">
        <v>1864</v>
      </c>
      <c r="D32" s="6" t="s">
        <v>1976</v>
      </c>
      <c r="E32" s="21" t="s">
        <v>1980</v>
      </c>
      <c r="F32" s="6" t="s">
        <v>1981</v>
      </c>
      <c r="G32" s="6" t="s">
        <v>1982</v>
      </c>
      <c r="H32" s="6" t="s">
        <v>1983</v>
      </c>
    </row>
    <row r="33" customFormat="false" ht="30" hidden="false" customHeight="true" outlineLevel="0" collapsed="false">
      <c r="B33" s="21" t="n">
        <v>29</v>
      </c>
      <c r="C33" s="64" t="s">
        <v>1884</v>
      </c>
      <c r="D33" s="6" t="s">
        <v>1976</v>
      </c>
      <c r="E33" s="21" t="s">
        <v>1984</v>
      </c>
      <c r="F33" s="6" t="s">
        <v>1985</v>
      </c>
      <c r="G33" s="6" t="s">
        <v>1986</v>
      </c>
      <c r="H33" s="6"/>
    </row>
    <row r="34" customFormat="false" ht="30" hidden="false" customHeight="true" outlineLevel="0" collapsed="false">
      <c r="B34" s="21" t="n">
        <v>30</v>
      </c>
      <c r="C34" s="63" t="s">
        <v>1864</v>
      </c>
      <c r="D34" s="6" t="s">
        <v>1987</v>
      </c>
      <c r="E34" s="21" t="s">
        <v>1988</v>
      </c>
      <c r="F34" s="6" t="s">
        <v>1989</v>
      </c>
      <c r="G34" s="6" t="s">
        <v>1990</v>
      </c>
      <c r="H34" s="6" t="s">
        <v>1991</v>
      </c>
    </row>
    <row r="35" customFormat="false" ht="30" hidden="false" customHeight="true" outlineLevel="0" collapsed="false">
      <c r="B35" s="21" t="n">
        <v>31</v>
      </c>
      <c r="C35" s="65" t="s">
        <v>1936</v>
      </c>
      <c r="D35" s="6" t="s">
        <v>1987</v>
      </c>
      <c r="E35" s="21" t="s">
        <v>1992</v>
      </c>
      <c r="F35" s="6" t="s">
        <v>1993</v>
      </c>
      <c r="G35" s="6" t="s">
        <v>1994</v>
      </c>
      <c r="H35" s="6" t="s">
        <v>1995</v>
      </c>
    </row>
    <row r="36" customFormat="false" ht="30" hidden="false" customHeight="true" outlineLevel="0" collapsed="false">
      <c r="B36" s="21" t="n">
        <v>32</v>
      </c>
      <c r="C36" s="63" t="s">
        <v>1864</v>
      </c>
      <c r="D36" s="6" t="s">
        <v>1996</v>
      </c>
      <c r="E36" s="21" t="s">
        <v>1997</v>
      </c>
      <c r="F36" s="6" t="s">
        <v>1998</v>
      </c>
      <c r="G36" s="6" t="s">
        <v>1999</v>
      </c>
      <c r="H36" s="6" t="s">
        <v>2000</v>
      </c>
    </row>
    <row r="37" customFormat="false" ht="30" hidden="false" customHeight="true" outlineLevel="0" collapsed="false">
      <c r="B37" s="21" t="n">
        <v>33</v>
      </c>
      <c r="C37" s="64" t="s">
        <v>1884</v>
      </c>
      <c r="D37" s="6" t="s">
        <v>1996</v>
      </c>
      <c r="E37" s="21" t="s">
        <v>2001</v>
      </c>
      <c r="F37" s="6" t="s">
        <v>2002</v>
      </c>
      <c r="G37" s="6" t="s">
        <v>2003</v>
      </c>
      <c r="H37" s="6" t="s">
        <v>2004</v>
      </c>
    </row>
    <row r="38" customFormat="false" ht="30" hidden="false" customHeight="true" outlineLevel="0" collapsed="false">
      <c r="B38" s="21" t="n">
        <v>34</v>
      </c>
      <c r="C38" s="64" t="s">
        <v>1884</v>
      </c>
      <c r="D38" s="6" t="s">
        <v>2005</v>
      </c>
      <c r="E38" s="21" t="s">
        <v>2006</v>
      </c>
      <c r="F38" s="6" t="s">
        <v>2007</v>
      </c>
      <c r="G38" s="6" t="s">
        <v>2008</v>
      </c>
      <c r="H38" s="6"/>
    </row>
    <row r="39" customFormat="false" ht="30" hidden="false" customHeight="true" outlineLevel="0" collapsed="false">
      <c r="B39" s="21" t="n">
        <v>35</v>
      </c>
      <c r="C39" s="64" t="s">
        <v>1884</v>
      </c>
      <c r="D39" s="6" t="s">
        <v>2009</v>
      </c>
      <c r="E39" s="21" t="s">
        <v>2010</v>
      </c>
      <c r="F39" s="6" t="s">
        <v>2011</v>
      </c>
      <c r="G39" s="6" t="s">
        <v>2012</v>
      </c>
      <c r="H39" s="6"/>
    </row>
    <row r="40" customFormat="false" ht="30" hidden="false" customHeight="true" outlineLevel="0" collapsed="false">
      <c r="B40" s="21" t="n">
        <v>36</v>
      </c>
      <c r="C40" s="65" t="s">
        <v>1936</v>
      </c>
      <c r="D40" s="6" t="s">
        <v>2013</v>
      </c>
      <c r="E40" s="21" t="s">
        <v>2014</v>
      </c>
      <c r="F40" s="6" t="s">
        <v>2015</v>
      </c>
      <c r="G40" s="6" t="s">
        <v>2016</v>
      </c>
      <c r="H40" s="6" t="s">
        <v>1869</v>
      </c>
    </row>
    <row r="41" customFormat="false" ht="45" hidden="false" customHeight="true" outlineLevel="0" collapsed="false">
      <c r="B41" s="21" t="n">
        <v>37</v>
      </c>
      <c r="C41" s="64" t="s">
        <v>1884</v>
      </c>
      <c r="D41" s="6" t="s">
        <v>2009</v>
      </c>
      <c r="E41" s="21" t="s">
        <v>2017</v>
      </c>
      <c r="F41" s="6" t="s">
        <v>2018</v>
      </c>
      <c r="G41" s="6" t="s">
        <v>2019</v>
      </c>
      <c r="H41" s="6"/>
    </row>
    <row r="42" customFormat="false" ht="30" hidden="false" customHeight="true" outlineLevel="0" collapsed="false">
      <c r="B42" s="21" t="n">
        <v>38</v>
      </c>
      <c r="C42" s="66" t="s">
        <v>2020</v>
      </c>
      <c r="D42" s="6" t="s">
        <v>2021</v>
      </c>
      <c r="E42" s="21" t="s">
        <v>28</v>
      </c>
      <c r="F42" s="6" t="s">
        <v>2022</v>
      </c>
      <c r="G42" s="6" t="s">
        <v>2023</v>
      </c>
      <c r="H42" s="6" t="s">
        <v>2024</v>
      </c>
    </row>
    <row r="43" customFormat="false" ht="30" hidden="false" customHeight="true" outlineLevel="0" collapsed="false">
      <c r="B43" s="21" t="n">
        <v>39</v>
      </c>
      <c r="C43" s="66" t="s">
        <v>2020</v>
      </c>
      <c r="D43" s="6" t="s">
        <v>2021</v>
      </c>
      <c r="E43" s="21" t="s">
        <v>34</v>
      </c>
      <c r="F43" s="6" t="s">
        <v>2025</v>
      </c>
      <c r="G43" s="6" t="s">
        <v>2026</v>
      </c>
      <c r="H43" s="6" t="s">
        <v>2027</v>
      </c>
    </row>
    <row r="44" customFormat="false" ht="30" hidden="false" customHeight="true" outlineLevel="0" collapsed="false">
      <c r="B44" s="21" t="n">
        <v>40</v>
      </c>
      <c r="C44" s="66" t="s">
        <v>2020</v>
      </c>
      <c r="D44" s="6" t="s">
        <v>2021</v>
      </c>
      <c r="E44" s="21" t="s">
        <v>20</v>
      </c>
      <c r="F44" s="6" t="s">
        <v>2028</v>
      </c>
      <c r="G44" s="6" t="s">
        <v>2029</v>
      </c>
      <c r="H44" s="6"/>
    </row>
    <row r="45" customFormat="false" ht="45" hidden="false" customHeight="true" outlineLevel="0" collapsed="false">
      <c r="B45" s="21" t="n">
        <v>41</v>
      </c>
      <c r="C45" s="67" t="s">
        <v>2030</v>
      </c>
      <c r="D45" s="6" t="s">
        <v>2031</v>
      </c>
      <c r="E45" s="21" t="s">
        <v>1906</v>
      </c>
      <c r="F45" s="6" t="s">
        <v>2032</v>
      </c>
      <c r="G45" s="6" t="s">
        <v>2033</v>
      </c>
      <c r="H45" s="6" t="s">
        <v>2034</v>
      </c>
    </row>
  </sheetData>
  <autoFilter ref="B4:H45"/>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2026-10-18T00:15:53Z</dcterms:created>
  <dc:creator>openpyxl</dc:creator>
  <dc:description/>
  <dc:language>en-US</dc:language>
  <cp:lastModifiedBy/>
  <dcterms:modified xsi:type="dcterms:W3CDTF">2026-10-18T00:15:58Z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